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8_{A67C6C03-8296-4E8B-8297-9F5043EACF5D}" xr6:coauthVersionLast="47" xr6:coauthVersionMax="47" xr10:uidLastSave="{00000000-0000-0000-0000-000000000000}"/>
  <bookViews>
    <workbookView xWindow="-108" yWindow="-108" windowWidth="23256" windowHeight="12456" firstSheet="3" activeTab="5" xr2:uid="{C13E7CE1-7973-4B86-A229-577C446ECF99}"/>
  </bookViews>
  <sheets>
    <sheet name="Campaign_Data_Q3" sheetId="1" r:id="rId1"/>
    <sheet name="Cleaned Data" sheetId="13" r:id="rId2"/>
    <sheet name="Summary Statistics" sheetId="14" r:id="rId3"/>
    <sheet name="Data Dictionary" sheetId="15" r:id="rId4"/>
    <sheet name="Pivot Table" sheetId="6" r:id="rId5"/>
    <sheet name="Dashboard" sheetId="16" r:id="rId6"/>
    <sheet name="Trends and Projections" sheetId="12" r:id="rId7"/>
    <sheet name="Q4 Projections" sheetId="9" r:id="rId8"/>
    <sheet name="Competitor Comparison" sheetId="10" r:id="rId9"/>
  </sheets>
  <definedNames>
    <definedName name="_xlcn.WorksheetConnection_Internship_Dataset1.xlsxTable11" hidden="1">Table1[]</definedName>
    <definedName name="_xlcn.WorksheetConnection_Internship_Dataset1.xlsxTable111" hidden="1">Table1[]</definedName>
    <definedName name="Slicer_Channel">#N/A</definedName>
    <definedName name="Slicer_Region">#N/A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s>
  <extLst>
    <ext xmlns:x14="http://schemas.microsoft.com/office/spreadsheetml/2009/9/main" uri="{876F7934-8845-4945-9796-88D515C7AA90}">
      <x14:pivotCaches>
        <pivotCache cacheId="10"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13829b0f-8925-47b2-ad05-a4b3a1a8ef4a" name="Table11" connection="WorksheetConnection_Internship_Dataset (1).xlsx!Table11"/>
          <x15:modelTable id="Table1" name="Table1" connection="WorksheetConnection_Internship_Dataset (1).xlsx!Table1"/>
        </x15:modelTables>
      </x15:dataModel>
    </ext>
  </extLst>
</workbook>
</file>

<file path=xl/calcChain.xml><?xml version="1.0" encoding="utf-8"?>
<calcChain xmlns="http://schemas.openxmlformats.org/spreadsheetml/2006/main">
  <c r="L32" i="13" l="1"/>
  <c r="F32" i="13"/>
  <c r="K32" i="13"/>
  <c r="C15" i="6"/>
  <c r="C16" i="6"/>
  <c r="A2" i="14"/>
  <c r="D2" i="14"/>
  <c r="A5" i="14"/>
  <c r="D5" i="14"/>
  <c r="A8" i="14"/>
  <c r="D8" i="14"/>
  <c r="A11" i="14"/>
  <c r="E12" i="14"/>
  <c r="E13" i="14"/>
  <c r="A14" i="14"/>
  <c r="E14" i="14"/>
  <c r="E15" i="14"/>
  <c r="E16" i="14"/>
  <c r="E17" i="14"/>
  <c r="E18" i="14"/>
  <c r="E19" i="14"/>
  <c r="E20" i="14"/>
  <c r="E21" i="14"/>
  <c r="E22" i="14"/>
  <c r="P2" i="13"/>
  <c r="Q2" i="13"/>
  <c r="R2" i="13"/>
  <c r="S2" i="13"/>
  <c r="T2" i="13"/>
  <c r="P3" i="13"/>
  <c r="Q3" i="13"/>
  <c r="R3" i="13"/>
  <c r="S3" i="13"/>
  <c r="T3" i="13"/>
  <c r="P4" i="13"/>
  <c r="Q4" i="13"/>
  <c r="R4" i="13"/>
  <c r="S4" i="13"/>
  <c r="T4" i="13"/>
  <c r="P5" i="13"/>
  <c r="Q5" i="13"/>
  <c r="R5" i="13"/>
  <c r="S5" i="13"/>
  <c r="T5" i="13"/>
  <c r="P6" i="13"/>
  <c r="Q6" i="13"/>
  <c r="R6" i="13"/>
  <c r="S6" i="13"/>
  <c r="T6" i="13"/>
  <c r="P7" i="13"/>
  <c r="Q7" i="13"/>
  <c r="R7" i="13"/>
  <c r="S7" i="13"/>
  <c r="T7" i="13"/>
  <c r="P8" i="13"/>
  <c r="Q8" i="13"/>
  <c r="R8" i="13"/>
  <c r="S8" i="13"/>
  <c r="T8" i="13"/>
  <c r="P9" i="13"/>
  <c r="Q9" i="13"/>
  <c r="R9" i="13"/>
  <c r="S9" i="13"/>
  <c r="T9" i="13"/>
  <c r="P10" i="13"/>
  <c r="Q10" i="13"/>
  <c r="R10" i="13"/>
  <c r="S10" i="13"/>
  <c r="T10" i="13"/>
  <c r="P11" i="13"/>
  <c r="Q11" i="13"/>
  <c r="R11" i="13"/>
  <c r="S11" i="13"/>
  <c r="T11" i="13"/>
  <c r="P12" i="13"/>
  <c r="Q12" i="13"/>
  <c r="R12" i="13"/>
  <c r="S12" i="13"/>
  <c r="T12" i="13"/>
  <c r="P13" i="13"/>
  <c r="Q13" i="13"/>
  <c r="R13" i="13"/>
  <c r="S13" i="13"/>
  <c r="T13" i="13"/>
  <c r="P14" i="13"/>
  <c r="Q14" i="13"/>
  <c r="R14" i="13"/>
  <c r="S14" i="13"/>
  <c r="T14" i="13"/>
  <c r="P15" i="13"/>
  <c r="Q15" i="13"/>
  <c r="R15" i="13"/>
  <c r="S15" i="13"/>
  <c r="T15" i="13"/>
  <c r="P16" i="13"/>
  <c r="Q16" i="13"/>
  <c r="R16" i="13"/>
  <c r="S16" i="13"/>
  <c r="T16" i="13"/>
  <c r="P17" i="13"/>
  <c r="Q17" i="13"/>
  <c r="R17" i="13"/>
  <c r="S17" i="13"/>
  <c r="T17" i="13"/>
  <c r="P18" i="13"/>
  <c r="Q18" i="13"/>
  <c r="R18" i="13"/>
  <c r="S18" i="13"/>
  <c r="T18" i="13"/>
  <c r="P19" i="13"/>
  <c r="Q19" i="13"/>
  <c r="R19" i="13"/>
  <c r="S19" i="13"/>
  <c r="T19" i="13"/>
  <c r="P20" i="13"/>
  <c r="Q20" i="13"/>
  <c r="R20" i="13"/>
  <c r="S20" i="13"/>
  <c r="T20" i="13"/>
  <c r="P21" i="13"/>
  <c r="Q21" i="13"/>
  <c r="R21" i="13"/>
  <c r="S21" i="13"/>
  <c r="T21" i="13"/>
  <c r="P22" i="13"/>
  <c r="Q22" i="13"/>
  <c r="R22" i="13"/>
  <c r="S22" i="13"/>
  <c r="T22" i="13"/>
  <c r="P23" i="13"/>
  <c r="Q23" i="13"/>
  <c r="R23" i="13"/>
  <c r="S23" i="13"/>
  <c r="T23" i="13"/>
  <c r="P24" i="13"/>
  <c r="Q24" i="13"/>
  <c r="R24" i="13"/>
  <c r="S24" i="13"/>
  <c r="T24" i="13"/>
  <c r="P25" i="13"/>
  <c r="Q25" i="13"/>
  <c r="R25" i="13"/>
  <c r="S25" i="13"/>
  <c r="T25" i="13"/>
  <c r="P26" i="13"/>
  <c r="Q26" i="13"/>
  <c r="R26" i="13"/>
  <c r="S26" i="13"/>
  <c r="T26" i="13"/>
  <c r="P27" i="13"/>
  <c r="Q27" i="13"/>
  <c r="R27" i="13"/>
  <c r="S27" i="13"/>
  <c r="T27" i="13"/>
  <c r="P28" i="13"/>
  <c r="Q28" i="13"/>
  <c r="R28" i="13"/>
  <c r="S28" i="13"/>
  <c r="T28" i="13"/>
  <c r="P29" i="13"/>
  <c r="Q29" i="13"/>
  <c r="R29" i="13"/>
  <c r="S29" i="13"/>
  <c r="T29" i="13"/>
  <c r="P30" i="13"/>
  <c r="Q30" i="13"/>
  <c r="R30" i="13"/>
  <c r="S30" i="13"/>
  <c r="T30" i="13"/>
  <c r="P31" i="13"/>
  <c r="Q31" i="13"/>
  <c r="R31" i="13"/>
  <c r="S31" i="13"/>
  <c r="T31" i="13"/>
  <c r="C5" i="9"/>
  <c r="C12" i="6"/>
  <c r="F2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77484B-4663-448D-9C31-DE481E2915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F9E5BD-8731-4BB0-A703-F6DB7EBF34B8}" name="WorksheetConnection_Internship_Dataset (1).xlsx!Table1" type="102" refreshedVersion="8" minRefreshableVersion="5">
    <extLst>
      <ext xmlns:x15="http://schemas.microsoft.com/office/spreadsheetml/2010/11/main" uri="{DE250136-89BD-433C-8126-D09CA5730AF9}">
        <x15:connection id="Table1" autoDelete="1">
          <x15:rangePr sourceName="_xlcn.WorksheetConnection_Internship_Dataset1.xlsxTable11"/>
        </x15:connection>
      </ext>
    </extLst>
  </connection>
  <connection id="3" xr16:uid="{9DF9E5BD-8731-4BB0-A703-F6DB7EBF34B8}" name="WorksheetConnection_Internship_Dataset (1).xlsx!Table11" type="102" refreshedVersion="8" minRefreshableVersion="5">
    <extLst>
      <ext xmlns:x15="http://schemas.microsoft.com/office/spreadsheetml/2010/11/main" uri="{DE250136-89BD-433C-8126-D09CA5730AF9}">
        <x15:connection id="Table1-13829b0f-8925-47b2-ad05-a4b3a1a8ef4a" autoDelete="1">
          <x15:rangePr sourceName="_xlcn.WorksheetConnection_Internship_Dataset1.xlsxTable111"/>
        </x15:connection>
      </ext>
    </extLst>
  </connection>
</connections>
</file>

<file path=xl/sharedStrings.xml><?xml version="1.0" encoding="utf-8"?>
<sst xmlns="http://schemas.openxmlformats.org/spreadsheetml/2006/main" count="583" uniqueCount="202">
  <si>
    <t>Campaign_ID</t>
  </si>
  <si>
    <t>Campaign_Name</t>
  </si>
  <si>
    <t>Channel</t>
  </si>
  <si>
    <t>Start_Date</t>
  </si>
  <si>
    <t>End_Date</t>
  </si>
  <si>
    <t>Ad_Spend (NGN)</t>
  </si>
  <si>
    <t>Impressions</t>
  </si>
  <si>
    <t>Clicks</t>
  </si>
  <si>
    <t>Leads</t>
  </si>
  <si>
    <t>Conversions</t>
  </si>
  <si>
    <t>Revenue (NGN)</t>
  </si>
  <si>
    <t>ROI (%)</t>
  </si>
  <si>
    <t>Region</t>
  </si>
  <si>
    <t>Campaign_Status</t>
  </si>
  <si>
    <t>Account_Manager</t>
  </si>
  <si>
    <t>C001</t>
  </si>
  <si>
    <t>Summer Email Blast</t>
  </si>
  <si>
    <t>Email</t>
  </si>
  <si>
    <t>Lagos</t>
  </si>
  <si>
    <t>Completed</t>
  </si>
  <si>
    <t>Amaka Obi</t>
  </si>
  <si>
    <t>C002</t>
  </si>
  <si>
    <t>Google Ads - Promo</t>
  </si>
  <si>
    <t>Paid Ads</t>
  </si>
  <si>
    <t>Abuja</t>
  </si>
  <si>
    <t>Tunde Adeyemi</t>
  </si>
  <si>
    <t>C003</t>
  </si>
  <si>
    <t>Instagram Summer</t>
  </si>
  <si>
    <t>Social Media</t>
  </si>
  <si>
    <t>C004</t>
  </si>
  <si>
    <t>LinkedIn B2B Push</t>
  </si>
  <si>
    <t>Running</t>
  </si>
  <si>
    <t>Chidi Nwosu</t>
  </si>
  <si>
    <t>C005</t>
  </si>
  <si>
    <t>Email Newsletter July</t>
  </si>
  <si>
    <t>Port Harcourt</t>
  </si>
  <si>
    <t>Sola Fashola</t>
  </si>
  <si>
    <t>C006</t>
  </si>
  <si>
    <t>Facebook Retargeting</t>
  </si>
  <si>
    <t>C007</t>
  </si>
  <si>
    <t>YouTube Pre-roll</t>
  </si>
  <si>
    <t>Video Ads</t>
  </si>
  <si>
    <t>Nationwide</t>
  </si>
  <si>
    <t>C008</t>
  </si>
  <si>
    <t>Affiliate Campaign Q3</t>
  </si>
  <si>
    <t>Affiliate</t>
  </si>
  <si>
    <t>completed</t>
  </si>
  <si>
    <t>C009</t>
  </si>
  <si>
    <t>Google Search - Aug</t>
  </si>
  <si>
    <t>C010</t>
  </si>
  <si>
    <t>Email - August Promo</t>
  </si>
  <si>
    <t>C011</t>
  </si>
  <si>
    <t>Social - August Deals</t>
  </si>
  <si>
    <t>C012</t>
  </si>
  <si>
    <t>TikTok Brand Awareness</t>
  </si>
  <si>
    <t>C013</t>
  </si>
  <si>
    <t>Influencer Collab Aug</t>
  </si>
  <si>
    <t>Influencer</t>
  </si>
  <si>
    <t>C014</t>
  </si>
  <si>
    <t>LinkedIn Lead Gen</t>
  </si>
  <si>
    <t>C015</t>
  </si>
  <si>
    <t>Email Blast - Sept</t>
  </si>
  <si>
    <t>C016</t>
  </si>
  <si>
    <t>Google Ads - Sept</t>
  </si>
  <si>
    <t>C017</t>
  </si>
  <si>
    <t>Instagram Autumn</t>
  </si>
  <si>
    <t>C018</t>
  </si>
  <si>
    <t>Facebook Sept Promo</t>
  </si>
  <si>
    <t>C019</t>
  </si>
  <si>
    <t>Podcast Sponsorship</t>
  </si>
  <si>
    <t>Audio Ads</t>
  </si>
  <si>
    <t>C020</t>
  </si>
  <si>
    <t>End-of-Quarter Blast</t>
  </si>
  <si>
    <t>C021</t>
  </si>
  <si>
    <t>Display Ads - Q3</t>
  </si>
  <si>
    <t>Display</t>
  </si>
  <si>
    <t>C022</t>
  </si>
  <si>
    <t>WhatsApp Campaign</t>
  </si>
  <si>
    <t>Messaging</t>
  </si>
  <si>
    <t>N/A</t>
  </si>
  <si>
    <t>C023</t>
  </si>
  <si>
    <t>Radio Digital Ad</t>
  </si>
  <si>
    <t>C024</t>
  </si>
  <si>
    <t>SEO Content Push</t>
  </si>
  <si>
    <t>Organic</t>
  </si>
  <si>
    <t>C025</t>
  </si>
  <si>
    <t>Twitter/X Campaign</t>
  </si>
  <si>
    <t>C026</t>
  </si>
  <si>
    <t>Email Segmented - VIP</t>
  </si>
  <si>
    <t>C027</t>
  </si>
  <si>
    <t>Programmatic Ads</t>
  </si>
  <si>
    <t>C028</t>
  </si>
  <si>
    <t>Google Display Net</t>
  </si>
  <si>
    <t>C029</t>
  </si>
  <si>
    <t>End of Q3 Social</t>
  </si>
  <si>
    <t>-</t>
  </si>
  <si>
    <t>Pending</t>
  </si>
  <si>
    <t>C030</t>
  </si>
  <si>
    <t>Referral Programme</t>
  </si>
  <si>
    <t>Referral</t>
  </si>
  <si>
    <t>Google Ads 0 Promo</t>
  </si>
  <si>
    <t>YouTube Pre0roll</t>
  </si>
  <si>
    <t>Google Search 0 Aug</t>
  </si>
  <si>
    <t>Email 0 August Promo</t>
  </si>
  <si>
    <t>Social 0 August Deals</t>
  </si>
  <si>
    <t>Email Blast 0 Sept</t>
  </si>
  <si>
    <t>Google Ads 0 Sept</t>
  </si>
  <si>
    <t>End0of0Quarter Blast</t>
  </si>
  <si>
    <t>Display Ads 0 Q3</t>
  </si>
  <si>
    <t>Email Segmented 0 VIP</t>
  </si>
  <si>
    <t>Unknown-Pending Confirmation</t>
  </si>
  <si>
    <t>Total Ad Spend</t>
  </si>
  <si>
    <t>Total Revenue</t>
  </si>
  <si>
    <t>Average ROI %</t>
  </si>
  <si>
    <t>Highest ROI%</t>
  </si>
  <si>
    <t>Lowest ROI%</t>
  </si>
  <si>
    <t>Total Leads Generated</t>
  </si>
  <si>
    <t>Total Conversions</t>
  </si>
  <si>
    <t>Overall Conversion Rate</t>
  </si>
  <si>
    <t>Grand Total</t>
  </si>
  <si>
    <t>Sum of Revenue (NGN)</t>
  </si>
  <si>
    <t>PaidAds</t>
  </si>
  <si>
    <t>Column Name</t>
  </si>
  <si>
    <t>Data Type</t>
  </si>
  <si>
    <t>Description</t>
  </si>
  <si>
    <t>Text</t>
  </si>
  <si>
    <t>Unique campaign identifier</t>
  </si>
  <si>
    <t>Date</t>
  </si>
  <si>
    <t>YYYY-MM-DD</t>
  </si>
  <si>
    <t>Number</t>
  </si>
  <si>
    <t>Percentage</t>
  </si>
  <si>
    <t>Conversion Rate (%)</t>
  </si>
  <si>
    <t>Cost Per Lead</t>
  </si>
  <si>
    <t>Click-Through-Rate</t>
  </si>
  <si>
    <t xml:space="preserve">Month </t>
  </si>
  <si>
    <t>Average of ROI (%)</t>
  </si>
  <si>
    <t>Campaign Name</t>
  </si>
  <si>
    <t>August</t>
  </si>
  <si>
    <t>July</t>
  </si>
  <si>
    <t>September</t>
  </si>
  <si>
    <t>Sum of Ad_Spend (NGN)</t>
  </si>
  <si>
    <t>Sum of Leads</t>
  </si>
  <si>
    <t>Sum of Conversions</t>
  </si>
  <si>
    <t>Segment</t>
  </si>
  <si>
    <t>Month</t>
  </si>
  <si>
    <t>Revenue</t>
  </si>
  <si>
    <t>Growth Rate</t>
  </si>
  <si>
    <t>Average Growth</t>
  </si>
  <si>
    <t>October</t>
  </si>
  <si>
    <t>November</t>
  </si>
  <si>
    <t>December</t>
  </si>
  <si>
    <t>Metric</t>
  </si>
  <si>
    <t>Tech Savvy Solutions</t>
  </si>
  <si>
    <t>BrandPulse NG</t>
  </si>
  <si>
    <t>AdVance Digital</t>
  </si>
  <si>
    <t>Average Campaign ROI</t>
  </si>
  <si>
    <t>Average Cost per Lead</t>
  </si>
  <si>
    <t>Top Channel</t>
  </si>
  <si>
    <t>Average Conversion Rate</t>
  </si>
  <si>
    <t>Total Q3 Revenue</t>
  </si>
  <si>
    <t>₦2,800</t>
  </si>
  <si>
    <t>₦28,000,000</t>
  </si>
  <si>
    <t>₦3,400</t>
  </si>
  <si>
    <t>₦21,000,000</t>
  </si>
  <si>
    <t>Z</t>
  </si>
  <si>
    <t>Blank cells replaced with "Unknown - Pending Confirmation"</t>
  </si>
  <si>
    <t>Staff names</t>
  </si>
  <si>
    <t>Campaign manager name</t>
  </si>
  <si>
    <t>Standardized to proper case</t>
  </si>
  <si>
    <t>Completed, Pending</t>
  </si>
  <si>
    <t>Status of campaign</t>
  </si>
  <si>
    <t>Checked for consistency</t>
  </si>
  <si>
    <t>Lagos, Abuja, Nationwide, etc.</t>
  </si>
  <si>
    <t>Campaign target region</t>
  </si>
  <si>
    <t>Missing values recalculated</t>
  </si>
  <si>
    <t>Percentage values</t>
  </si>
  <si>
    <t>Return on investment</t>
  </si>
  <si>
    <t>Dashes replaced with 0 where applicable</t>
  </si>
  <si>
    <t>Positive numeric values</t>
  </si>
  <si>
    <t>Revenue generated in Naira</t>
  </si>
  <si>
    <t>Converted to numeric format</t>
  </si>
  <si>
    <t>Whole numbers</t>
  </si>
  <si>
    <t>Number of successful conversions</t>
  </si>
  <si>
    <t>Number of leads generated</t>
  </si>
  <si>
    <t>Number of ad clicks</t>
  </si>
  <si>
    <t>Number of ad views</t>
  </si>
  <si>
    <t>Commas removed and converted to numbers</t>
  </si>
  <si>
    <t>Advertising cost in Naira</t>
  </si>
  <si>
    <t>Date format standardized; missing values reviewed</t>
  </si>
  <si>
    <t>Campaign end date</t>
  </si>
  <si>
    <t>Date format standardized</t>
  </si>
  <si>
    <t>Campaign start date</t>
  </si>
  <si>
    <t>Standardized text values</t>
  </si>
  <si>
    <t>Email, Paid Ads, Social Media, etc.</t>
  </si>
  <si>
    <t>Marketing channel used</t>
  </si>
  <si>
    <t>Text values</t>
  </si>
  <si>
    <t>Name of the campaign</t>
  </si>
  <si>
    <t>Duplicates removed using Campaign ID</t>
  </si>
  <si>
    <t>C001, C002, C003</t>
  </si>
  <si>
    <t>Data Quality Notes</t>
  </si>
  <si>
    <t>Expected Values / Format</t>
  </si>
  <si>
    <t>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</si>
</sst>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466]\ #,##0"/>
  </numFmts>
  <fonts count="24"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11"/>
      <color theme="1"/>
      <name val="Aptos Display"/>
      <family val="2"/>
    </font>
    <font>
      <b/>
      <sz val="11"/>
      <color theme="1"/>
      <name val="Times New Roman"/>
      <family val="1"/>
    </font>
    <font>
      <sz val="11"/>
      <color theme="1"/>
      <name val="Times New Roman"/>
      <family val="1"/>
    </font>
    <font>
      <sz val="12"/>
      <color theme="1"/>
      <name val="Times New Roman"/>
      <family val="1"/>
    </font>
    <font>
      <b/>
      <sz val="12"/>
      <color theme="1"/>
      <name val="Times New Roman"/>
      <family val="1"/>
    </font>
    <font>
      <sz val="11"/>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1"/>
      </top>
      <bottom style="thin">
        <color theme="1"/>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3"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8" fillId="0" borderId="0" xfId="0" applyFont="1"/>
    <xf numFmtId="4" fontId="0" fillId="0" borderId="0" xfId="0" applyNumberFormat="1"/>
    <xf numFmtId="0" fontId="19" fillId="0" borderId="0" xfId="0" applyFont="1"/>
    <xf numFmtId="3" fontId="19" fillId="0" borderId="10" xfId="0" applyNumberFormat="1" applyFont="1" applyBorder="1"/>
    <xf numFmtId="0" fontId="20" fillId="0" borderId="0" xfId="0" applyFont="1"/>
    <xf numFmtId="3" fontId="20" fillId="0" borderId="10" xfId="0" applyNumberFormat="1" applyFont="1" applyBorder="1"/>
    <xf numFmtId="3" fontId="20" fillId="0" borderId="0" xfId="0" applyNumberFormat="1" applyFont="1"/>
    <xf numFmtId="2" fontId="20" fillId="0" borderId="0" xfId="0" applyNumberFormat="1" applyFont="1"/>
    <xf numFmtId="10" fontId="20" fillId="0" borderId="0" xfId="0" applyNumberFormat="1" applyFont="1"/>
    <xf numFmtId="9" fontId="20" fillId="0" borderId="0" xfId="0" applyNumberFormat="1" applyFont="1"/>
    <xf numFmtId="0" fontId="21" fillId="0" borderId="0" xfId="0" applyFont="1" applyAlignment="1">
      <alignment vertical="center" wrapText="1"/>
    </xf>
    <xf numFmtId="0" fontId="21" fillId="0" borderId="0" xfId="0" applyFont="1" applyAlignment="1">
      <alignment vertical="center"/>
    </xf>
    <xf numFmtId="0" fontId="21" fillId="0" borderId="11" xfId="0" applyFont="1" applyBorder="1" applyAlignment="1">
      <alignment vertical="center" wrapText="1"/>
    </xf>
    <xf numFmtId="0" fontId="21" fillId="0" borderId="12" xfId="0" applyFont="1" applyBorder="1" applyAlignment="1">
      <alignment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0" xfId="0" applyFont="1" applyAlignment="1">
      <alignment horizontal="justify" vertical="center"/>
    </xf>
    <xf numFmtId="165" fontId="20" fillId="0" borderId="0" xfId="0" applyNumberFormat="1" applyFont="1"/>
    <xf numFmtId="166" fontId="20" fillId="0" borderId="0" xfId="0" applyNumberFormat="1" applyFont="1"/>
    <xf numFmtId="0" fontId="23" fillId="0" borderId="0" xfId="0" applyFon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3"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4" formatCode="#,##0.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3" formatCode="#,##0"/>
    </dxf>
    <dxf>
      <numFmt numFmtId="3" formatCode="#,##0"/>
    </dxf>
    <dxf>
      <numFmt numFmtId="3" formatCode="#,##0"/>
    </dxf>
    <dxf>
      <numFmt numFmtId="2" formatCode="0.00"/>
    </dxf>
    <dxf>
      <numFmt numFmtId="3" formatCode="#,##0"/>
    </dxf>
    <dxf>
      <numFmt numFmtId="3" formatCode="#,##0"/>
    </dxf>
    <dxf>
      <numFmt numFmtId="1" formatCode="0"/>
    </dxf>
    <dxf>
      <numFmt numFmtId="1" formatCode="0"/>
    </dxf>
    <dxf>
      <numFmt numFmtId="3" formatCode="#,##0"/>
    </dxf>
    <dxf>
      <numFmt numFmtId="3" formatCode="#,##0"/>
    </dxf>
    <dxf>
      <numFmt numFmtId="164" formatCode="yyyy\-mm\-dd;@"/>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defRPr>
            </a:pPr>
            <a:r>
              <a:rPr lang="en-GB" sz="1200" b="1">
                <a:latin typeface="Tahoma" panose="020B0604030504040204" pitchFamily="34" charset="0"/>
                <a:ea typeface="Tahoma" panose="020B0604030504040204" pitchFamily="34" charset="0"/>
                <a:cs typeface="Tahoma" panose="020B0604030504040204" pitchFamily="34" charset="0"/>
              </a:rPr>
              <a:t>TOP FIVE CHANNELS BY CAMPAIGN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40000"/>
                <a:lumOff val="60000"/>
              </a:schemeClr>
            </a:solidFill>
            <a:ln>
              <a:noFill/>
            </a:ln>
            <a:effectLst>
              <a:innerShdw blurRad="114300">
                <a:schemeClr val="accent1"/>
              </a:innerShdw>
            </a:effectLst>
          </c:spPr>
          <c:invertIfNegative val="0"/>
          <c:cat>
            <c:strLit>
              <c:ptCount val="5"/>
              <c:pt idx="0">
                <c:v>Referral Programme</c:v>
              </c:pt>
              <c:pt idx="1">
                <c:v>Twitter/X Campaign</c:v>
              </c:pt>
              <c:pt idx="2">
                <c:v>End0of0Quarter Blast</c:v>
              </c:pt>
              <c:pt idx="3">
                <c:v>Display Ads 0 Q3</c:v>
              </c:pt>
              <c:pt idx="4">
                <c:v>Influencer Collab Aug</c:v>
              </c:pt>
            </c:strLit>
          </c:cat>
          <c:val>
            <c:numLit>
              <c:formatCode>General</c:formatCode>
              <c:ptCount val="5"/>
              <c:pt idx="0">
                <c:v>3100</c:v>
              </c:pt>
              <c:pt idx="1">
                <c:v>805</c:v>
              </c:pt>
              <c:pt idx="2">
                <c:v>700</c:v>
              </c:pt>
              <c:pt idx="3">
                <c:v>668</c:v>
              </c:pt>
              <c:pt idx="4">
                <c:v>547</c:v>
              </c:pt>
            </c:numLit>
          </c:val>
          <c:extLst>
            <c:ext xmlns:c16="http://schemas.microsoft.com/office/drawing/2014/chart" uri="{C3380CC4-5D6E-409C-BE32-E72D297353CC}">
              <c16:uniqueId val="{00000000-5E0D-4842-9E31-B7BA17732109}"/>
            </c:ext>
          </c:extLst>
        </c:ser>
        <c:dLbls>
          <c:showLegendKey val="0"/>
          <c:showVal val="0"/>
          <c:showCatName val="0"/>
          <c:showSerName val="0"/>
          <c:showPercent val="0"/>
          <c:showBubbleSize val="0"/>
        </c:dLbls>
        <c:gapWidth val="40"/>
        <c:overlap val="-48"/>
        <c:axId val="1694467584"/>
        <c:axId val="1104962912"/>
      </c:barChart>
      <c:catAx>
        <c:axId val="1694467584"/>
        <c:scaling>
          <c:orientation val="maxMin"/>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104962912"/>
        <c:crosses val="autoZero"/>
        <c:auto val="1"/>
        <c:lblAlgn val="ctr"/>
        <c:lblOffset val="100"/>
        <c:noMultiLvlLbl val="0"/>
      </c:catAx>
      <c:valAx>
        <c:axId val="110496291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69446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en-GB" b="1">
                <a:latin typeface="Tahoma" panose="020B0604030504040204" pitchFamily="34" charset="0"/>
                <a:ea typeface="Tahoma" panose="020B0604030504040204" pitchFamily="34" charset="0"/>
                <a:cs typeface="Tahoma" panose="020B0604030504040204" pitchFamily="34" charset="0"/>
              </a:rPr>
              <a:t>CHANNEL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Revenue (NGN)</c:v>
          </c:tx>
          <c:spPr>
            <a:solidFill>
              <a:schemeClr val="accent1">
                <a:lumMod val="40000"/>
                <a:lumOff val="60000"/>
              </a:schemeClr>
            </a:solidFill>
            <a:ln>
              <a:noFill/>
            </a:ln>
            <a:effectLst/>
          </c:spPr>
          <c:invertIfNegative val="0"/>
          <c:cat>
            <c:strLit>
              <c:ptCount val="11"/>
              <c:pt idx="0">
                <c:v>Affiliate</c:v>
              </c:pt>
              <c:pt idx="1">
                <c:v>Audio Ads</c:v>
              </c:pt>
              <c:pt idx="2">
                <c:v>Display</c:v>
              </c:pt>
              <c:pt idx="3">
                <c:v>Email</c:v>
              </c:pt>
              <c:pt idx="4">
                <c:v>Influencer</c:v>
              </c:pt>
              <c:pt idx="5">
                <c:v>Messaging</c:v>
              </c:pt>
              <c:pt idx="6">
                <c:v>Organic</c:v>
              </c:pt>
              <c:pt idx="7">
                <c:v>Paid Ads</c:v>
              </c:pt>
              <c:pt idx="8">
                <c:v>Referral</c:v>
              </c:pt>
              <c:pt idx="9">
                <c:v>Social Media</c:v>
              </c:pt>
              <c:pt idx="10">
                <c:v>Video Ads</c:v>
              </c:pt>
            </c:strLit>
          </c:cat>
          <c:val>
            <c:numLit>
              <c:formatCode>General</c:formatCode>
              <c:ptCount val="11"/>
              <c:pt idx="0">
                <c:v>1830000</c:v>
              </c:pt>
              <c:pt idx="1">
                <c:v>1400000</c:v>
              </c:pt>
              <c:pt idx="2">
                <c:v>8240000</c:v>
              </c:pt>
              <c:pt idx="3">
                <c:v>8580000</c:v>
              </c:pt>
              <c:pt idx="4">
                <c:v>3880000</c:v>
              </c:pt>
              <c:pt idx="5">
                <c:v>720000</c:v>
              </c:pt>
              <c:pt idx="6">
                <c:v>4800000</c:v>
              </c:pt>
              <c:pt idx="7">
                <c:v>17630000</c:v>
              </c:pt>
              <c:pt idx="8">
                <c:v>8000000</c:v>
              </c:pt>
              <c:pt idx="9">
                <c:v>9100000</c:v>
              </c:pt>
              <c:pt idx="10">
                <c:v>4590000</c:v>
              </c:pt>
            </c:numLit>
          </c:val>
          <c:extLst>
            <c:ext xmlns:c16="http://schemas.microsoft.com/office/drawing/2014/chart" uri="{C3380CC4-5D6E-409C-BE32-E72D297353CC}">
              <c16:uniqueId val="{00000000-8080-46E7-9305-44EED95D41BD}"/>
            </c:ext>
          </c:extLst>
        </c:ser>
        <c:ser>
          <c:idx val="1"/>
          <c:order val="1"/>
          <c:tx>
            <c:v>Sum of Ad_Spend (NGN)</c:v>
          </c:tx>
          <c:spPr>
            <a:solidFill>
              <a:schemeClr val="accent1">
                <a:lumMod val="50000"/>
              </a:schemeClr>
            </a:solidFill>
            <a:ln>
              <a:noFill/>
            </a:ln>
            <a:effectLst/>
          </c:spPr>
          <c:invertIfNegative val="0"/>
          <c:cat>
            <c:strLit>
              <c:ptCount val="11"/>
              <c:pt idx="0">
                <c:v>Affiliate</c:v>
              </c:pt>
              <c:pt idx="1">
                <c:v>Audio Ads</c:v>
              </c:pt>
              <c:pt idx="2">
                <c:v>Display</c:v>
              </c:pt>
              <c:pt idx="3">
                <c:v>Email</c:v>
              </c:pt>
              <c:pt idx="4">
                <c:v>Influencer</c:v>
              </c:pt>
              <c:pt idx="5">
                <c:v>Messaging</c:v>
              </c:pt>
              <c:pt idx="6">
                <c:v>Organic</c:v>
              </c:pt>
              <c:pt idx="7">
                <c:v>Paid Ads</c:v>
              </c:pt>
              <c:pt idx="8">
                <c:v>Referral</c:v>
              </c:pt>
              <c:pt idx="9">
                <c:v>Social Media</c:v>
              </c:pt>
              <c:pt idx="10">
                <c:v>Video Ads</c:v>
              </c:pt>
            </c:strLit>
          </c:cat>
          <c:val>
            <c:numLit>
              <c:formatCode>General</c:formatCode>
              <c:ptCount val="11"/>
              <c:pt idx="0">
                <c:v>380000</c:v>
              </c:pt>
              <c:pt idx="1">
                <c:v>680000</c:v>
              </c:pt>
              <c:pt idx="2">
                <c:v>1240000</c:v>
              </c:pt>
              <c:pt idx="3">
                <c:v>1345000</c:v>
              </c:pt>
              <c:pt idx="4">
                <c:v>600000</c:v>
              </c:pt>
              <c:pt idx="5">
                <c:v>0</c:v>
              </c:pt>
              <c:pt idx="6">
                <c:v>0</c:v>
              </c:pt>
              <c:pt idx="7">
                <c:v>4530000</c:v>
              </c:pt>
              <c:pt idx="8">
                <c:v>250000</c:v>
              </c:pt>
              <c:pt idx="9">
                <c:v>1530000</c:v>
              </c:pt>
              <c:pt idx="10">
                <c:v>940000</c:v>
              </c:pt>
            </c:numLit>
          </c:val>
          <c:extLst>
            <c:ext xmlns:c16="http://schemas.microsoft.com/office/drawing/2014/chart" uri="{C3380CC4-5D6E-409C-BE32-E72D297353CC}">
              <c16:uniqueId val="{00000001-8080-46E7-9305-44EED95D41BD}"/>
            </c:ext>
          </c:extLst>
        </c:ser>
        <c:dLbls>
          <c:showLegendKey val="0"/>
          <c:showVal val="0"/>
          <c:showCatName val="0"/>
          <c:showSerName val="0"/>
          <c:showPercent val="0"/>
          <c:showBubbleSize val="0"/>
        </c:dLbls>
        <c:gapWidth val="40"/>
        <c:overlap val="50"/>
        <c:axId val="1669308960"/>
        <c:axId val="1661225184"/>
      </c:barChart>
      <c:lineChart>
        <c:grouping val="standard"/>
        <c:varyColors val="0"/>
        <c:ser>
          <c:idx val="2"/>
          <c:order val="2"/>
          <c:tx>
            <c:v>Sum of Conversions</c:v>
          </c:tx>
          <c:spPr>
            <a:ln w="28575" cap="rnd">
              <a:solidFill>
                <a:schemeClr val="tx1"/>
              </a:solidFill>
              <a:round/>
            </a:ln>
            <a:effectLst/>
          </c:spPr>
          <c:marker>
            <c:symbol val="none"/>
          </c:marker>
          <c:cat>
            <c:strLit>
              <c:ptCount val="11"/>
              <c:pt idx="0">
                <c:v>Affiliate</c:v>
              </c:pt>
              <c:pt idx="1">
                <c:v>Audio Ads</c:v>
              </c:pt>
              <c:pt idx="2">
                <c:v>Display</c:v>
              </c:pt>
              <c:pt idx="3">
                <c:v>Email</c:v>
              </c:pt>
              <c:pt idx="4">
                <c:v>Influencer</c:v>
              </c:pt>
              <c:pt idx="5">
                <c:v>Messaging</c:v>
              </c:pt>
              <c:pt idx="6">
                <c:v>Organic</c:v>
              </c:pt>
              <c:pt idx="7">
                <c:v>Paid Ads</c:v>
              </c:pt>
              <c:pt idx="8">
                <c:v>Referral</c:v>
              </c:pt>
              <c:pt idx="9">
                <c:v>Social Media</c:v>
              </c:pt>
              <c:pt idx="10">
                <c:v>Video Ads</c:v>
              </c:pt>
            </c:strLit>
          </c:cat>
          <c:val>
            <c:numLit>
              <c:formatCode>General</c:formatCode>
              <c:ptCount val="11"/>
              <c:pt idx="0">
                <c:v>61</c:v>
              </c:pt>
              <c:pt idx="1">
                <c:v>35</c:v>
              </c:pt>
              <c:pt idx="2">
                <c:v>206</c:v>
              </c:pt>
              <c:pt idx="3">
                <c:v>226</c:v>
              </c:pt>
              <c:pt idx="4">
                <c:v>97</c:v>
              </c:pt>
              <c:pt idx="5">
                <c:v>18</c:v>
              </c:pt>
              <c:pt idx="6">
                <c:v>120</c:v>
              </c:pt>
              <c:pt idx="7">
                <c:v>455</c:v>
              </c:pt>
              <c:pt idx="8">
                <c:v>200</c:v>
              </c:pt>
              <c:pt idx="9">
                <c:v>264</c:v>
              </c:pt>
              <c:pt idx="10">
                <c:v>153</c:v>
              </c:pt>
            </c:numLit>
          </c:val>
          <c:smooth val="0"/>
          <c:extLst>
            <c:ext xmlns:c16="http://schemas.microsoft.com/office/drawing/2014/chart" uri="{C3380CC4-5D6E-409C-BE32-E72D297353CC}">
              <c16:uniqueId val="{00000002-8080-46E7-9305-44EED95D41BD}"/>
            </c:ext>
          </c:extLst>
        </c:ser>
        <c:dLbls>
          <c:showLegendKey val="0"/>
          <c:showVal val="0"/>
          <c:showCatName val="0"/>
          <c:showSerName val="0"/>
          <c:showPercent val="0"/>
          <c:showBubbleSize val="0"/>
        </c:dLbls>
        <c:marker val="1"/>
        <c:smooth val="0"/>
        <c:axId val="690742352"/>
        <c:axId val="555597568"/>
      </c:lineChart>
      <c:catAx>
        <c:axId val="166930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661225184"/>
        <c:crosses val="autoZero"/>
        <c:auto val="1"/>
        <c:lblAlgn val="ctr"/>
        <c:lblOffset val="100"/>
        <c:noMultiLvlLbl val="0"/>
      </c:catAx>
      <c:valAx>
        <c:axId val="166122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669308960"/>
        <c:crosses val="autoZero"/>
        <c:crossBetween val="between"/>
      </c:valAx>
      <c:valAx>
        <c:axId val="5555975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42352"/>
        <c:crosses val="max"/>
        <c:crossBetween val="between"/>
      </c:valAx>
      <c:catAx>
        <c:axId val="690742352"/>
        <c:scaling>
          <c:orientation val="minMax"/>
        </c:scaling>
        <c:delete val="1"/>
        <c:axPos val="b"/>
        <c:numFmt formatCode="General" sourceLinked="1"/>
        <c:majorTickMark val="out"/>
        <c:minorTickMark val="none"/>
        <c:tickLblPos val="nextTo"/>
        <c:crossAx val="555597568"/>
        <c:crosses val="autoZero"/>
        <c:auto val="1"/>
        <c:lblAlgn val="ctr"/>
        <c:lblOffset val="100"/>
        <c:noMultiLvlLbl val="0"/>
      </c:catAx>
      <c:spPr>
        <a:noFill/>
        <a:ln>
          <a:noFill/>
        </a:ln>
        <a:effectLst/>
      </c:spPr>
    </c:plotArea>
    <c:legend>
      <c:legendPos val="r"/>
      <c:layout>
        <c:manualLayout>
          <c:xMode val="edge"/>
          <c:yMode val="edge"/>
          <c:x val="0.80569008475928727"/>
          <c:y val="0.34842109345355254"/>
          <c:w val="0.19430991524071273"/>
          <c:h val="0.233549704666605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[Q3 Marketing Dashboard.xlsx]Pivot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ahoma" panose="020B0604030504040204" pitchFamily="34" charset="0"/>
                <a:ea typeface="Tahoma" panose="020B0604030504040204" pitchFamily="34" charset="0"/>
                <a:cs typeface="Tahoma" panose="020B0604030504040204" pitchFamily="34" charset="0"/>
              </a:rPr>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sz="1000" b="1">
                    <a:latin typeface="Tahoma" panose="020B0604030504040204" pitchFamily="34" charset="0"/>
                    <a:ea typeface="Tahoma" panose="020B0604030504040204" pitchFamily="34" charset="0"/>
                    <a:cs typeface="Tahoma" panose="020B0604030504040204" pitchFamily="34" charset="0"/>
                  </a:rPr>
                  <a:t>Best Performing Month</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420E-4428-B722-385EDD418E70}"/>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420E-4428-B722-385EDD418E7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420E-4428-B722-385EDD418E70}"/>
              </c:ext>
            </c:extLst>
          </c:dPt>
          <c:dLbls>
            <c:dLbl>
              <c:idx val="0"/>
              <c:tx>
                <c:rich>
                  <a:bodyPr/>
                  <a:lstStyle/>
                  <a:p>
                    <a:r>
                      <a:rPr lang="en-US" sz="1000" b="1">
                        <a:latin typeface="Tahoma" panose="020B0604030504040204" pitchFamily="34" charset="0"/>
                        <a:ea typeface="Tahoma" panose="020B0604030504040204" pitchFamily="34" charset="0"/>
                        <a:cs typeface="Tahoma" panose="020B0604030504040204" pitchFamily="34" charset="0"/>
                      </a:rPr>
                      <a:t>Best Performing Month</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20E-4428-B722-385EDD418E70}"/>
                </c:ext>
              </c:extLst>
            </c:dLbl>
            <c:dLbl>
              <c:idx val="1"/>
              <c:delete val="1"/>
              <c:extLst>
                <c:ext xmlns:c15="http://schemas.microsoft.com/office/drawing/2012/chart" uri="{CE6537A1-D6FC-4f65-9D91-7224C49458BB}"/>
                <c:ext xmlns:c16="http://schemas.microsoft.com/office/drawing/2014/chart" uri="{C3380CC4-5D6E-409C-BE32-E72D297353CC}">
                  <c16:uniqueId val="{00000002-420E-4428-B722-385EDD418E70}"/>
                </c:ext>
              </c:extLst>
            </c:dLbl>
            <c:dLbl>
              <c:idx val="2"/>
              <c:delete val="1"/>
              <c:extLst>
                <c:ext xmlns:c15="http://schemas.microsoft.com/office/drawing/2012/chart" uri="{CE6537A1-D6FC-4f65-9D91-7224C49458BB}"/>
                <c:ext xmlns:c16="http://schemas.microsoft.com/office/drawing/2014/chart" uri="{C3380CC4-5D6E-409C-BE32-E72D297353CC}">
                  <c16:uniqueId val="{00000003-420E-4428-B722-385EDD41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Table'!$E$4:$E$7</c:f>
              <c:strCache>
                <c:ptCount val="3"/>
                <c:pt idx="0">
                  <c:v>July</c:v>
                </c:pt>
                <c:pt idx="1">
                  <c:v>August</c:v>
                </c:pt>
                <c:pt idx="2">
                  <c:v>September</c:v>
                </c:pt>
              </c:strCache>
            </c:strRef>
          </c:cat>
          <c:val>
            <c:numRef>
              <c:f>'Pivot Table'!$F$4:$F$7</c:f>
              <c:numCache>
                <c:formatCode>#,##0</c:formatCode>
                <c:ptCount val="3"/>
                <c:pt idx="0">
                  <c:v>34440000</c:v>
                </c:pt>
                <c:pt idx="1">
                  <c:v>18040000</c:v>
                </c:pt>
                <c:pt idx="2">
                  <c:v>16290000</c:v>
                </c:pt>
              </c:numCache>
            </c:numRef>
          </c:val>
          <c:smooth val="0"/>
          <c:extLst>
            <c:ext xmlns:c16="http://schemas.microsoft.com/office/drawing/2014/chart" uri="{C3380CC4-5D6E-409C-BE32-E72D297353CC}">
              <c16:uniqueId val="{00000000-420E-4428-B722-385EDD418E70}"/>
            </c:ext>
          </c:extLst>
        </c:ser>
        <c:dLbls>
          <c:dLblPos val="t"/>
          <c:showLegendKey val="0"/>
          <c:showVal val="1"/>
          <c:showCatName val="0"/>
          <c:showSerName val="0"/>
          <c:showPercent val="0"/>
          <c:showBubbleSize val="0"/>
        </c:dLbls>
        <c:marker val="1"/>
        <c:smooth val="0"/>
        <c:axId val="1610502239"/>
        <c:axId val="22859551"/>
      </c:lineChart>
      <c:catAx>
        <c:axId val="161050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22859551"/>
        <c:crosses val="autoZero"/>
        <c:auto val="1"/>
        <c:lblAlgn val="ctr"/>
        <c:lblOffset val="100"/>
        <c:noMultiLvlLbl val="0"/>
      </c:catAx>
      <c:valAx>
        <c:axId val="22859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6105022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[Q3 Marketing Dashboard.xlsx]Pivot Table!PivotTable3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MONTHLY</a:t>
            </a:r>
            <a:r>
              <a:rPr lang="en-GB" b="1" baseline="0"/>
              <a:t> PERFORMANCE</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808401589828897E-2"/>
              <c:y val="-6.929825422964895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a:t>Best</a:t>
                </a:r>
                <a:r>
                  <a:rPr lang="en-US" b="1" baseline="0"/>
                  <a:t> Performing Month</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808401589828897E-2"/>
              <c:y val="-6.929825422964895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a:t>Best</a:t>
                </a:r>
                <a:r>
                  <a:rPr lang="en-US" b="1" baseline="0"/>
                  <a:t> Performing Month</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layout>
            <c:manualLayout>
              <c:x val="-2.2808401589828897E-2"/>
              <c:y val="-6.929825422964895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a:t>Best</a:t>
                </a:r>
                <a:r>
                  <a:rPr lang="en-US" b="1" baseline="0"/>
                  <a:t> Performing Month</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tx1">
                <a:alpha val="83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Table'!$F$37</c:f>
              <c:strCache>
                <c:ptCount val="1"/>
                <c:pt idx="0">
                  <c:v>Sum of Revenue (NGN)</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E78-4819-81A5-0A3DB39B43F5}"/>
              </c:ext>
            </c:extLst>
          </c:dPt>
          <c:dLbls>
            <c:dLbl>
              <c:idx val="0"/>
              <c:layout>
                <c:manualLayout>
                  <c:x val="-2.2808401589828897E-2"/>
                  <c:y val="-6.929825422964895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r>
                      <a:rPr lang="en-US" b="1"/>
                      <a:t>Best</a:t>
                    </a:r>
                    <a:r>
                      <a:rPr lang="en-US" b="1" baseline="0"/>
                      <a:t> Performing Month</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E78-4819-81A5-0A3DB39B43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Table'!$E$38:$E$41</c:f>
              <c:strCache>
                <c:ptCount val="3"/>
                <c:pt idx="0">
                  <c:v>July</c:v>
                </c:pt>
                <c:pt idx="1">
                  <c:v>August</c:v>
                </c:pt>
                <c:pt idx="2">
                  <c:v>September</c:v>
                </c:pt>
              </c:strCache>
            </c:strRef>
          </c:cat>
          <c:val>
            <c:numRef>
              <c:f>'Pivot Table'!$F$38:$F$41</c:f>
              <c:numCache>
                <c:formatCode>#,##0</c:formatCode>
                <c:ptCount val="3"/>
                <c:pt idx="0">
                  <c:v>34440000</c:v>
                </c:pt>
                <c:pt idx="1">
                  <c:v>18040000</c:v>
                </c:pt>
                <c:pt idx="2">
                  <c:v>16290000</c:v>
                </c:pt>
              </c:numCache>
            </c:numRef>
          </c:val>
          <c:extLst>
            <c:ext xmlns:c16="http://schemas.microsoft.com/office/drawing/2014/chart" uri="{C3380CC4-5D6E-409C-BE32-E72D297353CC}">
              <c16:uniqueId val="{00000001-EE78-4819-81A5-0A3DB39B43F5}"/>
            </c:ext>
          </c:extLst>
        </c:ser>
        <c:ser>
          <c:idx val="1"/>
          <c:order val="1"/>
          <c:tx>
            <c:strRef>
              <c:f>'Pivot Table'!$G$37</c:f>
              <c:strCache>
                <c:ptCount val="1"/>
                <c:pt idx="0">
                  <c:v>Sum of Ad_Spend (NGN)</c:v>
                </c:pt>
              </c:strCache>
            </c:strRef>
          </c:tx>
          <c:spPr>
            <a:solidFill>
              <a:schemeClr val="accent1">
                <a:lumMod val="50000"/>
              </a:schemeClr>
            </a:solidFill>
            <a:ln>
              <a:noFill/>
            </a:ln>
            <a:effectLst/>
          </c:spPr>
          <c:invertIfNegative val="0"/>
          <c:cat>
            <c:strRef>
              <c:f>'Pivot Table'!$E$38:$E$41</c:f>
              <c:strCache>
                <c:ptCount val="3"/>
                <c:pt idx="0">
                  <c:v>July</c:v>
                </c:pt>
                <c:pt idx="1">
                  <c:v>August</c:v>
                </c:pt>
                <c:pt idx="2">
                  <c:v>September</c:v>
                </c:pt>
              </c:strCache>
            </c:strRef>
          </c:cat>
          <c:val>
            <c:numRef>
              <c:f>'Pivot Table'!$G$38:$G$41</c:f>
              <c:numCache>
                <c:formatCode>#,##0</c:formatCode>
                <c:ptCount val="3"/>
                <c:pt idx="0">
                  <c:v>4565000</c:v>
                </c:pt>
                <c:pt idx="1">
                  <c:v>3330000</c:v>
                </c:pt>
                <c:pt idx="2">
                  <c:v>3600000</c:v>
                </c:pt>
              </c:numCache>
            </c:numRef>
          </c:val>
          <c:extLst>
            <c:ext xmlns:c16="http://schemas.microsoft.com/office/drawing/2014/chart" uri="{C3380CC4-5D6E-409C-BE32-E72D297353CC}">
              <c16:uniqueId val="{00000002-EE78-4819-81A5-0A3DB39B43F5}"/>
            </c:ext>
          </c:extLst>
        </c:ser>
        <c:ser>
          <c:idx val="2"/>
          <c:order val="2"/>
          <c:tx>
            <c:strRef>
              <c:f>'Pivot Table'!$H$37</c:f>
              <c:strCache>
                <c:ptCount val="1"/>
                <c:pt idx="0">
                  <c:v>Average of ROI (%)</c:v>
                </c:pt>
              </c:strCache>
            </c:strRef>
          </c:tx>
          <c:spPr>
            <a:solidFill>
              <a:schemeClr val="accent3"/>
            </a:solidFill>
            <a:ln>
              <a:noFill/>
            </a:ln>
            <a:effectLst/>
          </c:spPr>
          <c:invertIfNegative val="0"/>
          <c:cat>
            <c:strRef>
              <c:f>'Pivot Table'!$E$38:$E$41</c:f>
              <c:strCache>
                <c:ptCount val="3"/>
                <c:pt idx="0">
                  <c:v>July</c:v>
                </c:pt>
                <c:pt idx="1">
                  <c:v>August</c:v>
                </c:pt>
                <c:pt idx="2">
                  <c:v>September</c:v>
                </c:pt>
              </c:strCache>
            </c:strRef>
          </c:cat>
          <c:val>
            <c:numRef>
              <c:f>'Pivot Table'!$H$38:$H$41</c:f>
              <c:numCache>
                <c:formatCode>#,##0</c:formatCode>
                <c:ptCount val="3"/>
                <c:pt idx="0">
                  <c:v>513.90909090909088</c:v>
                </c:pt>
                <c:pt idx="1">
                  <c:v>398.44444444444446</c:v>
                </c:pt>
                <c:pt idx="2">
                  <c:v>276.39999999999998</c:v>
                </c:pt>
              </c:numCache>
            </c:numRef>
          </c:val>
          <c:extLst>
            <c:ext xmlns:c16="http://schemas.microsoft.com/office/drawing/2014/chart" uri="{C3380CC4-5D6E-409C-BE32-E72D297353CC}">
              <c16:uniqueId val="{00000003-EE78-4819-81A5-0A3DB39B43F5}"/>
            </c:ext>
          </c:extLst>
        </c:ser>
        <c:dLbls>
          <c:showLegendKey val="0"/>
          <c:showVal val="0"/>
          <c:showCatName val="0"/>
          <c:showSerName val="0"/>
          <c:showPercent val="0"/>
          <c:showBubbleSize val="0"/>
        </c:dLbls>
        <c:gapWidth val="150"/>
        <c:axId val="1800018943"/>
        <c:axId val="1125466688"/>
      </c:barChart>
      <c:lineChart>
        <c:grouping val="standard"/>
        <c:varyColors val="0"/>
        <c:ser>
          <c:idx val="3"/>
          <c:order val="3"/>
          <c:tx>
            <c:strRef>
              <c:f>'Pivot Table'!$I$37</c:f>
              <c:strCache>
                <c:ptCount val="1"/>
                <c:pt idx="0">
                  <c:v>Sum of Conversions</c:v>
                </c:pt>
              </c:strCache>
            </c:strRef>
          </c:tx>
          <c:spPr>
            <a:ln w="28575" cap="rnd">
              <a:solidFill>
                <a:schemeClr val="tx1">
                  <a:alpha val="83000"/>
                </a:schemeClr>
              </a:solidFill>
              <a:round/>
            </a:ln>
            <a:effectLst/>
          </c:spPr>
          <c:marker>
            <c:symbol val="none"/>
          </c:marker>
          <c:cat>
            <c:strRef>
              <c:f>'Pivot Table'!$E$38:$E$41</c:f>
              <c:strCache>
                <c:ptCount val="3"/>
                <c:pt idx="0">
                  <c:v>July</c:v>
                </c:pt>
                <c:pt idx="1">
                  <c:v>August</c:v>
                </c:pt>
                <c:pt idx="2">
                  <c:v>September</c:v>
                </c:pt>
              </c:strCache>
            </c:strRef>
          </c:cat>
          <c:val>
            <c:numRef>
              <c:f>'Pivot Table'!$I$38:$I$41</c:f>
              <c:numCache>
                <c:formatCode>#,##0</c:formatCode>
                <c:ptCount val="3"/>
                <c:pt idx="0">
                  <c:v>915</c:v>
                </c:pt>
                <c:pt idx="1">
                  <c:v>507</c:v>
                </c:pt>
                <c:pt idx="2">
                  <c:v>413</c:v>
                </c:pt>
              </c:numCache>
            </c:numRef>
          </c:val>
          <c:smooth val="0"/>
          <c:extLst>
            <c:ext xmlns:c16="http://schemas.microsoft.com/office/drawing/2014/chart" uri="{C3380CC4-5D6E-409C-BE32-E72D297353CC}">
              <c16:uniqueId val="{00000004-EE78-4819-81A5-0A3DB39B43F5}"/>
            </c:ext>
          </c:extLst>
        </c:ser>
        <c:ser>
          <c:idx val="4"/>
          <c:order val="4"/>
          <c:tx>
            <c:strRef>
              <c:f>'Pivot Table'!$J$37</c:f>
              <c:strCache>
                <c:ptCount val="1"/>
                <c:pt idx="0">
                  <c:v>Sum of Leads</c:v>
                </c:pt>
              </c:strCache>
            </c:strRef>
          </c:tx>
          <c:spPr>
            <a:ln w="28575" cap="rnd">
              <a:solidFill>
                <a:schemeClr val="bg2">
                  <a:lumMod val="50000"/>
                </a:schemeClr>
              </a:solidFill>
              <a:round/>
            </a:ln>
            <a:effectLst/>
          </c:spPr>
          <c:marker>
            <c:symbol val="none"/>
          </c:marker>
          <c:cat>
            <c:strRef>
              <c:f>'Pivot Table'!$E$38:$E$41</c:f>
              <c:strCache>
                <c:ptCount val="3"/>
                <c:pt idx="0">
                  <c:v>July</c:v>
                </c:pt>
                <c:pt idx="1">
                  <c:v>August</c:v>
                </c:pt>
                <c:pt idx="2">
                  <c:v>September</c:v>
                </c:pt>
              </c:strCache>
            </c:strRef>
          </c:cat>
          <c:val>
            <c:numRef>
              <c:f>'Pivot Table'!$J$38:$J$41</c:f>
              <c:numCache>
                <c:formatCode>#,##0</c:formatCode>
                <c:ptCount val="3"/>
                <c:pt idx="0">
                  <c:v>3875</c:v>
                </c:pt>
                <c:pt idx="1">
                  <c:v>2400</c:v>
                </c:pt>
                <c:pt idx="2">
                  <c:v>1728</c:v>
                </c:pt>
              </c:numCache>
            </c:numRef>
          </c:val>
          <c:smooth val="0"/>
          <c:extLst>
            <c:ext xmlns:c16="http://schemas.microsoft.com/office/drawing/2014/chart" uri="{C3380CC4-5D6E-409C-BE32-E72D297353CC}">
              <c16:uniqueId val="{00000005-EE78-4819-81A5-0A3DB39B43F5}"/>
            </c:ext>
          </c:extLst>
        </c:ser>
        <c:dLbls>
          <c:showLegendKey val="0"/>
          <c:showVal val="0"/>
          <c:showCatName val="0"/>
          <c:showSerName val="0"/>
          <c:showPercent val="0"/>
          <c:showBubbleSize val="0"/>
        </c:dLbls>
        <c:marker val="1"/>
        <c:smooth val="0"/>
        <c:axId val="729937424"/>
        <c:axId val="410673472"/>
      </c:lineChart>
      <c:catAx>
        <c:axId val="180001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125466688"/>
        <c:crosses val="autoZero"/>
        <c:auto val="1"/>
        <c:lblAlgn val="ctr"/>
        <c:lblOffset val="100"/>
        <c:noMultiLvlLbl val="0"/>
      </c:catAx>
      <c:valAx>
        <c:axId val="112546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1800018943"/>
        <c:crosses val="autoZero"/>
        <c:crossBetween val="between"/>
      </c:valAx>
      <c:valAx>
        <c:axId val="4106734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crossAx val="729937424"/>
        <c:crosses val="max"/>
        <c:crossBetween val="between"/>
      </c:valAx>
      <c:catAx>
        <c:axId val="729937424"/>
        <c:scaling>
          <c:orientation val="minMax"/>
        </c:scaling>
        <c:delete val="1"/>
        <c:axPos val="b"/>
        <c:numFmt formatCode="General" sourceLinked="1"/>
        <c:majorTickMark val="out"/>
        <c:minorTickMark val="none"/>
        <c:tickLblPos val="nextTo"/>
        <c:crossAx val="4106734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Ad Spend vs Leads (Q3 Campaigns)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Data'!$I$1</c:f>
              <c:strCache>
                <c:ptCount val="1"/>
                <c:pt idx="0">
                  <c:v>Leads</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'Cleaned Data'!$F$2:$F$31</c:f>
              <c:numCache>
                <c:formatCode>#,##0</c:formatCode>
                <c:ptCount val="30"/>
                <c:pt idx="0">
                  <c:v>450000</c:v>
                </c:pt>
                <c:pt idx="1">
                  <c:v>820000</c:v>
                </c:pt>
                <c:pt idx="2">
                  <c:v>300000</c:v>
                </c:pt>
                <c:pt idx="3">
                  <c:v>0</c:v>
                </c:pt>
                <c:pt idx="4">
                  <c:v>195000</c:v>
                </c:pt>
                <c:pt idx="5">
                  <c:v>620000</c:v>
                </c:pt>
                <c:pt idx="6">
                  <c:v>510000</c:v>
                </c:pt>
                <c:pt idx="7">
                  <c:v>380000</c:v>
                </c:pt>
                <c:pt idx="8">
                  <c:v>910000</c:v>
                </c:pt>
                <c:pt idx="9">
                  <c:v>210000</c:v>
                </c:pt>
                <c:pt idx="10">
                  <c:v>270000</c:v>
                </c:pt>
                <c:pt idx="11">
                  <c:v>430000</c:v>
                </c:pt>
                <c:pt idx="12">
                  <c:v>600000</c:v>
                </c:pt>
                <c:pt idx="13">
                  <c:v>340000</c:v>
                </c:pt>
                <c:pt idx="14">
                  <c:v>225000</c:v>
                </c:pt>
                <c:pt idx="15">
                  <c:v>980000</c:v>
                </c:pt>
                <c:pt idx="16">
                  <c:v>310000</c:v>
                </c:pt>
                <c:pt idx="17">
                  <c:v>530000</c:v>
                </c:pt>
                <c:pt idx="18">
                  <c:v>400000</c:v>
                </c:pt>
                <c:pt idx="19">
                  <c:v>180000</c:v>
                </c:pt>
                <c:pt idx="20">
                  <c:v>750000</c:v>
                </c:pt>
                <c:pt idx="21">
                  <c:v>0</c:v>
                </c:pt>
                <c:pt idx="22">
                  <c:v>280000</c:v>
                </c:pt>
                <c:pt idx="23">
                  <c:v>0</c:v>
                </c:pt>
                <c:pt idx="24">
                  <c:v>190000</c:v>
                </c:pt>
                <c:pt idx="25">
                  <c:v>85000</c:v>
                </c:pt>
                <c:pt idx="26">
                  <c:v>670000</c:v>
                </c:pt>
                <c:pt idx="27">
                  <c:v>490000</c:v>
                </c:pt>
                <c:pt idx="28">
                  <c:v>120000</c:v>
                </c:pt>
                <c:pt idx="29">
                  <c:v>250000</c:v>
                </c:pt>
              </c:numCache>
            </c:numRef>
          </c:xVal>
          <c:yVal>
            <c:numRef>
              <c:f>'Cleaned Data'!$I$2:$I$31</c:f>
              <c:numCache>
                <c:formatCode>General</c:formatCode>
                <c:ptCount val="30"/>
                <c:pt idx="0">
                  <c:v>180</c:v>
                </c:pt>
                <c:pt idx="1">
                  <c:v>210</c:v>
                </c:pt>
                <c:pt idx="2">
                  <c:v>95</c:v>
                </c:pt>
                <c:pt idx="3">
                  <c:v>315</c:v>
                </c:pt>
                <c:pt idx="4">
                  <c:v>132</c:v>
                </c:pt>
                <c:pt idx="5">
                  <c:v>258</c:v>
                </c:pt>
                <c:pt idx="6">
                  <c:v>351</c:v>
                </c:pt>
                <c:pt idx="7">
                  <c:v>247</c:v>
                </c:pt>
                <c:pt idx="8">
                  <c:v>384</c:v>
                </c:pt>
                <c:pt idx="9">
                  <c:v>153</c:v>
                </c:pt>
                <c:pt idx="10">
                  <c:v>169</c:v>
                </c:pt>
                <c:pt idx="11">
                  <c:v>552</c:v>
                </c:pt>
                <c:pt idx="12">
                  <c:v>486</c:v>
                </c:pt>
                <c:pt idx="13">
                  <c:v>117</c:v>
                </c:pt>
                <c:pt idx="14">
                  <c:v>166</c:v>
                </c:pt>
                <c:pt idx="15">
                  <c:v>408</c:v>
                </c:pt>
                <c:pt idx="16">
                  <c:v>153</c:v>
                </c:pt>
                <c:pt idx="17">
                  <c:v>216</c:v>
                </c:pt>
                <c:pt idx="18">
                  <c:v>120</c:v>
                </c:pt>
                <c:pt idx="19">
                  <c:v>142</c:v>
                </c:pt>
                <c:pt idx="20">
                  <c:v>720</c:v>
                </c:pt>
                <c:pt idx="21">
                  <c:v>75</c:v>
                </c:pt>
                <c:pt idx="22">
                  <c:v>54</c:v>
                </c:pt>
                <c:pt idx="23">
                  <c:v>480</c:v>
                </c:pt>
                <c:pt idx="24">
                  <c:v>217</c:v>
                </c:pt>
                <c:pt idx="25">
                  <c:v>99</c:v>
                </c:pt>
                <c:pt idx="26">
                  <c:v>534</c:v>
                </c:pt>
                <c:pt idx="27">
                  <c:v>310</c:v>
                </c:pt>
                <c:pt idx="28">
                  <c:v>60</c:v>
                </c:pt>
                <c:pt idx="29">
                  <c:v>600</c:v>
                </c:pt>
              </c:numCache>
            </c:numRef>
          </c:yVal>
          <c:smooth val="0"/>
          <c:extLst>
            <c:ext xmlns:c16="http://schemas.microsoft.com/office/drawing/2014/chart" uri="{C3380CC4-5D6E-409C-BE32-E72D297353CC}">
              <c16:uniqueId val="{00000001-8F00-4223-9271-705CFB4886B2}"/>
            </c:ext>
          </c:extLst>
        </c:ser>
        <c:dLbls>
          <c:showLegendKey val="0"/>
          <c:showVal val="0"/>
          <c:showCatName val="0"/>
          <c:showSerName val="0"/>
          <c:showPercent val="0"/>
          <c:showBubbleSize val="0"/>
        </c:dLbls>
        <c:axId val="1891783327"/>
        <c:axId val="1125494048"/>
      </c:scatterChart>
      <c:valAx>
        <c:axId val="18917833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94048"/>
        <c:crosses val="autoZero"/>
        <c:crossBetween val="midCat"/>
      </c:valAx>
      <c:valAx>
        <c:axId val="112549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83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414759</xdr:colOff>
      <xdr:row>0</xdr:row>
      <xdr:rowOff>115747</xdr:rowOff>
    </xdr:from>
    <xdr:to>
      <xdr:col>24</xdr:col>
      <xdr:colOff>520861</xdr:colOff>
      <xdr:row>35</xdr:row>
      <xdr:rowOff>0</xdr:rowOff>
    </xdr:to>
    <xdr:sp macro="" textlink="">
      <xdr:nvSpPr>
        <xdr:cNvPr id="2" name="Rectangle: Rounded Corners 1">
          <a:extLst>
            <a:ext uri="{FF2B5EF4-FFF2-40B4-BE49-F238E27FC236}">
              <a16:creationId xmlns:a16="http://schemas.microsoft.com/office/drawing/2014/main" id="{F5FF82B8-7AED-4394-BCEC-4D7982612EA2}"/>
            </a:ext>
          </a:extLst>
        </xdr:cNvPr>
        <xdr:cNvSpPr/>
      </xdr:nvSpPr>
      <xdr:spPr>
        <a:xfrm>
          <a:off x="414759" y="115747"/>
          <a:ext cx="15731925" cy="629855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138546</xdr:colOff>
      <xdr:row>6</xdr:row>
      <xdr:rowOff>121226</xdr:rowOff>
    </xdr:from>
    <xdr:to>
      <xdr:col>13</xdr:col>
      <xdr:colOff>327949</xdr:colOff>
      <xdr:row>20</xdr:row>
      <xdr:rowOff>163974</xdr:rowOff>
    </xdr:to>
    <xdr:graphicFrame macro="">
      <xdr:nvGraphicFramePr>
        <xdr:cNvPr id="3" name="Chart 2">
          <a:extLst>
            <a:ext uri="{FF2B5EF4-FFF2-40B4-BE49-F238E27FC236}">
              <a16:creationId xmlns:a16="http://schemas.microsoft.com/office/drawing/2014/main" id="{82478C7A-4D6C-4E32-B7B2-E8DBFA96B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366530</xdr:colOff>
      <xdr:row>6</xdr:row>
      <xdr:rowOff>135039</xdr:rowOff>
    </xdr:from>
    <xdr:to>
      <xdr:col>24</xdr:col>
      <xdr:colOff>453342</xdr:colOff>
      <xdr:row>34</xdr:row>
      <xdr:rowOff>86812</xdr:rowOff>
    </xdr:to>
    <xdr:graphicFrame macro="">
      <xdr:nvGraphicFramePr>
        <xdr:cNvPr id="5" name="Chart 4">
          <a:extLst>
            <a:ext uri="{FF2B5EF4-FFF2-40B4-BE49-F238E27FC236}">
              <a16:creationId xmlns:a16="http://schemas.microsoft.com/office/drawing/2014/main" id="{B92F8B89-A6E3-4AD6-B2E7-DC3AC4FF4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458165</xdr:colOff>
      <xdr:row>3</xdr:row>
      <xdr:rowOff>48228</xdr:rowOff>
    </xdr:from>
    <xdr:to>
      <xdr:col>14</xdr:col>
      <xdr:colOff>434051</xdr:colOff>
      <xdr:row>6</xdr:row>
      <xdr:rowOff>95763</xdr:rowOff>
    </xdr:to>
    <xdr:sp macro="" textlink="'Pivot Table'!C23">
      <xdr:nvSpPr>
        <xdr:cNvPr id="8" name="Rectangle: Rounded Corners 7">
          <a:extLst>
            <a:ext uri="{FF2B5EF4-FFF2-40B4-BE49-F238E27FC236}">
              <a16:creationId xmlns:a16="http://schemas.microsoft.com/office/drawing/2014/main" id="{B0DA2CBE-5453-4F86-8FA4-7DBC6BDBBE92}"/>
            </a:ext>
          </a:extLst>
        </xdr:cNvPr>
        <xdr:cNvSpPr/>
      </xdr:nvSpPr>
      <xdr:spPr>
        <a:xfrm>
          <a:off x="7576595" y="598025"/>
          <a:ext cx="2406570" cy="5973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Average ROI</a:t>
          </a:r>
        </a:p>
        <a:p>
          <a:pPr algn="r"/>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fld id="{2D02D1D2-760F-4D94-BA37-B95AC87F41DE}" type="TxLink">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pPr algn="r"/>
            <a:t>400.10</a:t>
          </a:fld>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a:t>
          </a:r>
          <a:endParaRPr lang="en-GB" sz="9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15</xdr:col>
      <xdr:colOff>98867</xdr:colOff>
      <xdr:row>3</xdr:row>
      <xdr:rowOff>48229</xdr:rowOff>
    </xdr:from>
    <xdr:to>
      <xdr:col>19</xdr:col>
      <xdr:colOff>327949</xdr:colOff>
      <xdr:row>6</xdr:row>
      <xdr:rowOff>67519</xdr:rowOff>
    </xdr:to>
    <xdr:sp macro="" textlink="'Pivot Table'!A29">
      <xdr:nvSpPr>
        <xdr:cNvPr id="9" name="Rectangle: Rounded Corners 8">
          <a:extLst>
            <a:ext uri="{FF2B5EF4-FFF2-40B4-BE49-F238E27FC236}">
              <a16:creationId xmlns:a16="http://schemas.microsoft.com/office/drawing/2014/main" id="{D99D7BE1-FAD9-476A-89E1-FC7BAA7CC850}"/>
            </a:ext>
          </a:extLst>
        </xdr:cNvPr>
        <xdr:cNvSpPr/>
      </xdr:nvSpPr>
      <xdr:spPr>
        <a:xfrm>
          <a:off x="10255652" y="598026"/>
          <a:ext cx="2659765" cy="5690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Sum</a:t>
          </a:r>
          <a:r>
            <a:rPr lang="en-US" sz="1000" b="1" i="0" u="none" strike="noStrike" baseline="0">
              <a:solidFill>
                <a:srgbClr val="000000"/>
              </a:solidFill>
              <a:latin typeface="Tahoma" panose="020B0604030504040204" pitchFamily="34" charset="0"/>
              <a:ea typeface="Tahoma" panose="020B0604030504040204" pitchFamily="34" charset="0"/>
              <a:cs typeface="Tahoma" panose="020B0604030504040204" pitchFamily="34" charset="0"/>
            </a:rPr>
            <a:t> of Leads</a:t>
          </a:r>
          <a:endPar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endParaRPr>
        </a:p>
        <a:p>
          <a:pPr algn="l"/>
          <a:r>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fld id="{6D43C93C-EEFD-4108-ACDE-5DFC1D4B9CE6}" type="TxLink">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pPr algn="l"/>
            <a:t>8,003</a:t>
          </a:fld>
          <a:endParaRPr lang="en-GB" sz="10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19</xdr:col>
      <xdr:colOff>549798</xdr:colOff>
      <xdr:row>3</xdr:row>
      <xdr:rowOff>48229</xdr:rowOff>
    </xdr:from>
    <xdr:to>
      <xdr:col>24</xdr:col>
      <xdr:colOff>231495</xdr:colOff>
      <xdr:row>6</xdr:row>
      <xdr:rowOff>75515</xdr:rowOff>
    </xdr:to>
    <xdr:sp macro="" textlink="'Pivot Table'!C29">
      <xdr:nvSpPr>
        <xdr:cNvPr id="10" name="Rectangle: Rounded Corners 9">
          <a:extLst>
            <a:ext uri="{FF2B5EF4-FFF2-40B4-BE49-F238E27FC236}">
              <a16:creationId xmlns:a16="http://schemas.microsoft.com/office/drawing/2014/main" id="{1ABB47C5-DB7A-4C02-837F-428EFEDECBD4}"/>
            </a:ext>
          </a:extLst>
        </xdr:cNvPr>
        <xdr:cNvSpPr/>
      </xdr:nvSpPr>
      <xdr:spPr>
        <a:xfrm>
          <a:off x="13137266" y="598026"/>
          <a:ext cx="2720052" cy="5770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Sum</a:t>
          </a:r>
          <a:r>
            <a:rPr lang="en-US" sz="1000" b="1" i="0" u="none" strike="noStrike" baseline="0">
              <a:solidFill>
                <a:srgbClr val="000000"/>
              </a:solidFill>
              <a:latin typeface="Tahoma" panose="020B0604030504040204" pitchFamily="34" charset="0"/>
              <a:ea typeface="Tahoma" panose="020B0604030504040204" pitchFamily="34" charset="0"/>
              <a:cs typeface="Tahoma" panose="020B0604030504040204" pitchFamily="34" charset="0"/>
            </a:rPr>
            <a:t> of Conversions</a:t>
          </a:r>
          <a:endPar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endParaRPr>
        </a:p>
        <a:p>
          <a:pPr algn="l"/>
          <a:r>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fld id="{BEFF57DB-A3C7-417F-9E50-92A517C76CDD}" type="TxLink">
            <a:rPr lang="en-US" sz="10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pPr algn="l"/>
            <a:t>1,835</a:t>
          </a:fld>
          <a:endParaRPr lang="en-GB" sz="10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0</xdr:col>
      <xdr:colOff>482278</xdr:colOff>
      <xdr:row>14</xdr:row>
      <xdr:rowOff>144684</xdr:rowOff>
    </xdr:from>
    <xdr:ext cx="1291300" cy="3366303"/>
    <mc:AlternateContent xmlns:mc="http://schemas.openxmlformats.org/markup-compatibility/2006" xmlns:a14="http://schemas.microsoft.com/office/drawing/2010/main">
      <mc:Choice Requires="a14">
        <xdr:graphicFrame macro="">
          <xdr:nvGraphicFramePr>
            <xdr:cNvPr id="11" name="Channel 1">
              <a:extLst>
                <a:ext uri="{FF2B5EF4-FFF2-40B4-BE49-F238E27FC236}">
                  <a16:creationId xmlns:a16="http://schemas.microsoft.com/office/drawing/2014/main" id="{E8AC993F-7587-437A-8ED8-F14C63B6C2C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89552" y="2710405"/>
              <a:ext cx="1684027" cy="39450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414758</xdr:colOff>
      <xdr:row>6</xdr:row>
      <xdr:rowOff>140520</xdr:rowOff>
    </xdr:from>
    <xdr:ext cx="1350161" cy="1354544"/>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B064FDF-487A-4823-9912-482D05778F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551" y="1240114"/>
              <a:ext cx="1675369" cy="14317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932330</xdr:colOff>
      <xdr:row>0</xdr:row>
      <xdr:rowOff>125392</xdr:rowOff>
    </xdr:from>
    <xdr:to>
      <xdr:col>24</xdr:col>
      <xdr:colOff>98612</xdr:colOff>
      <xdr:row>3</xdr:row>
      <xdr:rowOff>17316</xdr:rowOff>
    </xdr:to>
    <xdr:sp macro="" textlink="">
      <xdr:nvSpPr>
        <xdr:cNvPr id="13" name="TextBox 12">
          <a:extLst>
            <a:ext uri="{FF2B5EF4-FFF2-40B4-BE49-F238E27FC236}">
              <a16:creationId xmlns:a16="http://schemas.microsoft.com/office/drawing/2014/main" id="{2B6A8421-2CEA-472F-8FE8-E61455493D64}"/>
            </a:ext>
          </a:extLst>
        </xdr:cNvPr>
        <xdr:cNvSpPr txBox="1"/>
      </xdr:nvSpPr>
      <xdr:spPr>
        <a:xfrm>
          <a:off x="932330" y="125392"/>
          <a:ext cx="14836588" cy="42980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Tahoma" panose="020B0604030504040204" pitchFamily="34" charset="0"/>
              <a:ea typeface="Tahoma" panose="020B0604030504040204" pitchFamily="34" charset="0"/>
              <a:cs typeface="Tahoma" panose="020B0604030504040204" pitchFamily="34" charset="0"/>
            </a:rPr>
            <a:t>MARKETING PERFORMANCE DASHBOARD</a:t>
          </a:r>
        </a:p>
      </xdr:txBody>
    </xdr:sp>
    <xdr:clientData/>
  </xdr:twoCellAnchor>
  <xdr:twoCellAnchor>
    <xdr:from>
      <xdr:col>1</xdr:col>
      <xdr:colOff>135040</xdr:colOff>
      <xdr:row>3</xdr:row>
      <xdr:rowOff>48228</xdr:rowOff>
    </xdr:from>
    <xdr:to>
      <xdr:col>5</xdr:col>
      <xdr:colOff>241140</xdr:colOff>
      <xdr:row>6</xdr:row>
      <xdr:rowOff>105887</xdr:rowOff>
    </xdr:to>
    <xdr:sp macro="" textlink="'Pivot Table'!C16">
      <xdr:nvSpPr>
        <xdr:cNvPr id="14" name="Rectangle: Rounded Corners 13">
          <a:extLst>
            <a:ext uri="{FF2B5EF4-FFF2-40B4-BE49-F238E27FC236}">
              <a16:creationId xmlns:a16="http://schemas.microsoft.com/office/drawing/2014/main" id="{9D614A2F-11D7-2536-7B8A-F5113CA35EB2}"/>
            </a:ext>
          </a:extLst>
        </xdr:cNvPr>
        <xdr:cNvSpPr/>
      </xdr:nvSpPr>
      <xdr:spPr>
        <a:xfrm>
          <a:off x="1784432" y="598025"/>
          <a:ext cx="2536784" cy="60745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Total Revenue</a:t>
          </a:r>
        </a:p>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p>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fld id="{A72C92D8-A21D-4959-B10A-A4E56E6C5747}" type="TxLink">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pPr algn="l"/>
            <a:t>₦ 68,770,000</a:t>
          </a:fld>
          <a:endParaRPr lang="en-GB" sz="9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501570</xdr:colOff>
      <xdr:row>3</xdr:row>
      <xdr:rowOff>48228</xdr:rowOff>
    </xdr:from>
    <xdr:to>
      <xdr:col>10</xdr:col>
      <xdr:colOff>173621</xdr:colOff>
      <xdr:row>6</xdr:row>
      <xdr:rowOff>95763</xdr:rowOff>
    </xdr:to>
    <xdr:sp macro="" textlink="'Pivot Table'!C19">
      <xdr:nvSpPr>
        <xdr:cNvPr id="15" name="Rectangle: Rounded Corners 14">
          <a:extLst>
            <a:ext uri="{FF2B5EF4-FFF2-40B4-BE49-F238E27FC236}">
              <a16:creationId xmlns:a16="http://schemas.microsoft.com/office/drawing/2014/main" id="{BCBC4184-0485-279F-A899-448F30705A68}"/>
            </a:ext>
          </a:extLst>
        </xdr:cNvPr>
        <xdr:cNvSpPr/>
      </xdr:nvSpPr>
      <xdr:spPr>
        <a:xfrm>
          <a:off x="4581646" y="598025"/>
          <a:ext cx="2710405" cy="59733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Total Ad spend</a:t>
          </a:r>
        </a:p>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p>
        <a:p>
          <a:pPr algn="l"/>
          <a:r>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t>                                                 </a:t>
          </a:r>
          <a:fld id="{537E90C4-0619-4FF2-8A71-BD8CBFED3B6A}" type="TxLink">
            <a:rPr lang="en-US" sz="900" b="1" i="0" u="none" strike="noStrike">
              <a:solidFill>
                <a:srgbClr val="000000"/>
              </a:solidFill>
              <a:latin typeface="Tahoma" panose="020B0604030504040204" pitchFamily="34" charset="0"/>
              <a:ea typeface="Tahoma" panose="020B0604030504040204" pitchFamily="34" charset="0"/>
              <a:cs typeface="Tahoma" panose="020B0604030504040204" pitchFamily="34" charset="0"/>
            </a:rPr>
            <a:pPr algn="l"/>
            <a:t>₦ 11,495,000</a:t>
          </a:fld>
          <a:endParaRPr lang="en-GB" sz="900" b="1">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xdr:col>
      <xdr:colOff>118923</xdr:colOff>
      <xdr:row>20</xdr:row>
      <xdr:rowOff>178500</xdr:rowOff>
    </xdr:from>
    <xdr:to>
      <xdr:col>13</xdr:col>
      <xdr:colOff>349623</xdr:colOff>
      <xdr:row>34</xdr:row>
      <xdr:rowOff>152399</xdr:rowOff>
    </xdr:to>
    <xdr:graphicFrame macro="">
      <xdr:nvGraphicFramePr>
        <xdr:cNvPr id="35" name="Chart 34">
          <a:extLst>
            <a:ext uri="{FF2B5EF4-FFF2-40B4-BE49-F238E27FC236}">
              <a16:creationId xmlns:a16="http://schemas.microsoft.com/office/drawing/2014/main" id="{0622E311-DF12-4ADB-ABA3-3A051BFC0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38101</xdr:rowOff>
    </xdr:from>
    <xdr:to>
      <xdr:col>12</xdr:col>
      <xdr:colOff>28936</xdr:colOff>
      <xdr:row>21</xdr:row>
      <xdr:rowOff>34660</xdr:rowOff>
    </xdr:to>
    <xdr:graphicFrame macro="">
      <xdr:nvGraphicFramePr>
        <xdr:cNvPr id="2" name="Chart 1">
          <a:extLst>
            <a:ext uri="{FF2B5EF4-FFF2-40B4-BE49-F238E27FC236}">
              <a16:creationId xmlns:a16="http://schemas.microsoft.com/office/drawing/2014/main" id="{D8909EFA-BD7C-43C2-87AD-11CDD9208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495300</xdr:colOff>
      <xdr:row>2</xdr:row>
      <xdr:rowOff>38101</xdr:rowOff>
    </xdr:from>
    <xdr:to>
      <xdr:col>19</xdr:col>
      <xdr:colOff>269594</xdr:colOff>
      <xdr:row>21</xdr:row>
      <xdr:rowOff>90129</xdr:rowOff>
    </xdr:to>
    <xdr:graphicFrame macro="">
      <xdr:nvGraphicFramePr>
        <xdr:cNvPr id="3" name="Chart 2">
          <a:extLst>
            <a:ext uri="{FF2B5EF4-FFF2-40B4-BE49-F238E27FC236}">
              <a16:creationId xmlns:a16="http://schemas.microsoft.com/office/drawing/2014/main" id="{0CE5F41A-8346-45C4-B93A-8072A1F55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10069446" backgroundQuery="1" createdVersion="8" refreshedVersion="8" minRefreshableVersion="3" recordCount="0" supportSubquery="1" supportAdvancedDrill="1" xr:uid="{C8505015-1C0A-4477-920E-BFDB8D05577A}">
  <cacheSource type="external" connectionId="1"/>
  <cacheFields count="2">
    <cacheField name="[Table1].[Month].[Month]" caption="Month" numFmtId="0" hierarchy="18" level="1">
      <sharedItems count="3">
        <s v="August"/>
        <s v="July"/>
        <s v="September"/>
      </sharedItems>
    </cacheField>
    <cacheField name="[Measures].[Sum of Revenue (NGN)]" caption="Sum of Revenue (NGN)" numFmtId="0" hierarchy="43"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14930557" backgroundQuery="1" createdVersion="8" refreshedVersion="8" minRefreshableVersion="3" recordCount="0" supportSubquery="1" supportAdvancedDrill="1" xr:uid="{6590F364-802B-4716-8204-2843642BCF3B}">
  <cacheSource type="external" connectionId="1"/>
  <cacheFields count="1">
    <cacheField name="[Measures].[Sum of Conversions]" caption="Sum of Conversions" numFmtId="0" hierarchy="46"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16782405" backgroundQuery="1" createdVersion="8" refreshedVersion="8" minRefreshableVersion="3" recordCount="0" supportSubquery="1" supportAdvancedDrill="1" xr:uid="{D06FEE2B-79D3-4453-BE44-885C080E70FB}">
  <cacheSource type="external" connectionId="1"/>
  <cacheFields count="1">
    <cacheField name="[Measures].[Sum of Ad_Spend (NGN)]" caption="Sum of Ad_Spend (NGN)" numFmtId="0" hierarchy="44"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18518521" backgroundQuery="1" createdVersion="8" refreshedVersion="8" minRefreshableVersion="3" recordCount="0" supportSubquery="1" supportAdvancedDrill="1" xr:uid="{274F0FB9-AACE-4546-9F56-5018F0BA1DBD}">
  <cacheSource type="external" connectionId="1"/>
  <cacheFields count="4">
    <cacheField name="[Table1].[Channel].[Channel]" caption="Channel" numFmtId="0" hierarchy="2" level="1">
      <sharedItems count="11">
        <s v="Affiliate"/>
        <s v="Audio Ads"/>
        <s v="Display"/>
        <s v="Email"/>
        <s v="Influencer"/>
        <s v="Messaging"/>
        <s v="Organic"/>
        <s v="Paid Ads"/>
        <s v="Referral"/>
        <s v="Social Media"/>
        <s v="Video Ads"/>
      </sharedItems>
    </cacheField>
    <cacheField name="[Measures].[Sum of Revenue (NGN)]" caption="Sum of Revenue (NGN)" numFmtId="0" hierarchy="43" level="32767"/>
    <cacheField name="[Measures].[Sum of Ad_Spend (NGN)]" caption="Sum of Ad_Spend (NGN)" numFmtId="0" hierarchy="44" level="32767"/>
    <cacheField name="[Measures].[Sum of Conversions]" caption="Sum of Conversions" numFmtId="0" hierarchy="46"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19675922" backgroundQuery="1" createdVersion="8" refreshedVersion="8" minRefreshableVersion="3" recordCount="0" supportSubquery="1" supportAdvancedDrill="1" xr:uid="{92A4CA7F-8968-4487-B492-2F14A1A142E5}">
  <cacheSource type="external" connectionId="1"/>
  <cacheFields count="1">
    <cacheField name="[Measures].[Average of ROI (%)]" caption="Average of ROI (%)" numFmtId="0" hierarchy="42"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21064815" backgroundQuery="1" createdVersion="8" refreshedVersion="8" minRefreshableVersion="3" recordCount="0" supportSubquery="1" supportAdvancedDrill="1" xr:uid="{0EB51209-3E9B-4C77-B632-2A6FD703383D}">
  <cacheSource type="external" connectionId="1"/>
  <cacheFields count="1">
    <cacheField name="[Measures].[Sum of Revenue (NGN)]" caption="Sum of Revenue (NGN)" numFmtId="0" hierarchy="43"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22569447" backgroundQuery="1" createdVersion="8" refreshedVersion="8" minRefreshableVersion="3" recordCount="0" supportSubquery="1" supportAdvancedDrill="1" xr:uid="{EC225C92-B57D-49A1-BA80-D88ACCEC0CAF}">
  <cacheSource type="external" connectionId="1"/>
  <cacheFields count="6">
    <cacheField name="[Table1].[Month].[Month]" caption="Month" numFmtId="0" hierarchy="18" level="1">
      <sharedItems count="3">
        <s v="August"/>
        <s v="July"/>
        <s v="September"/>
      </sharedItems>
    </cacheField>
    <cacheField name="[Measures].[Average of ROI (%)]" caption="Average of ROI (%)" numFmtId="0" hierarchy="42" level="32767"/>
    <cacheField name="[Measures].[Sum of Leads]" caption="Sum of Leads" numFmtId="0" hierarchy="45" level="32767"/>
    <cacheField name="[Measures].[Sum of Conversions]" caption="Sum of Conversions" numFmtId="0" hierarchy="46" level="32767"/>
    <cacheField name="[Measures].[Sum of Ad_Spend (NGN)]" caption="Sum of Ad_Spend (NGN)" numFmtId="0" hierarchy="44" level="32767"/>
    <cacheField name="[Measures].[Sum of Revenue (NGN)]" caption="Sum of Revenue (NGN)" numFmtId="0" hierarchy="43"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24189817" backgroundQuery="1" createdVersion="8" refreshedVersion="8" minRefreshableVersion="3" recordCount="0" supportSubquery="1" supportAdvancedDrill="1" xr:uid="{37A4211F-C456-41D6-BC8C-9D6213E08DA6}">
  <cacheSource type="external" connectionId="1"/>
  <cacheFields count="1">
    <cacheField name="[Measures].[Sum of Leads]" caption="Sum of Leads" numFmtId="0" hierarchy="45"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2.77042523148" backgroundQuery="1" createdVersion="8" refreshedVersion="8" minRefreshableVersion="3" recordCount="0" supportSubquery="1" supportAdvancedDrill="1" xr:uid="{56DA6D47-C203-40F6-A10D-CCAA0D8C5135}">
  <cacheSource type="external" connectionId="1"/>
  <cacheFields count="1">
    <cacheField name="[Measures].[Sum of Revenue (NGN)]" caption="Sum of Revenue (NGN)" numFmtId="0" hierarchy="43"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5.117768750002" backgroundQuery="1" createdVersion="8" refreshedVersion="8" minRefreshableVersion="3" recordCount="0" supportSubquery="1" supportAdvancedDrill="1" xr:uid="{BA0E92E4-20F2-4770-86FD-36460145D88F}">
  <cacheSource type="external" connectionId="1"/>
  <cacheFields count="2">
    <cacheField name="[Table1].[Campaign_Name].[Campaign_Name]" caption="Campaign_Name" numFmtId="0" hierarchy="1" level="1">
      <sharedItems count="5">
        <s v="Display Ads 0 Q3"/>
        <s v="End0of0Quarter Blast"/>
        <s v="Influencer Collab Aug"/>
        <s v="Referral Programme"/>
        <s v="Twitter/X Campaign"/>
      </sharedItems>
    </cacheField>
    <cacheField name="[Measures].[Average of ROI (%)]" caption="Average of ROI (%)" numFmtId="0" hierarchy="42" level="32767"/>
  </cacheFields>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2" memberValueDatatype="130" unbalanced="0">
      <fieldsUsage count="2">
        <fieldUsage x="-1"/>
        <fieldUsage x="0"/>
      </fieldsUsage>
    </cacheHierarchy>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4.379203240744" backgroundQuery="1" createdVersion="3" refreshedVersion="8" minRefreshableVersion="3" recordCount="0" supportSubquery="1" supportAdvancedDrill="1" xr:uid="{8D95D05E-25A9-4FBF-A105-E2A852CCCAAF}">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Table1].[Campaign_ID]" caption="Campaign_ID" attribute="1" defaultMemberUniqueName="[Table1].[Campaign_ID].[All]" allUniqueName="[Table1].[Campaign_ID].[All]" dimensionUniqueName="[Table1]" displayFolder="" count="0" memberValueDatatype="130" unbalanced="0"/>
    <cacheHierarchy uniqueName="[Table1].[Campaign_Name]" caption="Campaign_Name" attribute="1" defaultMemberUniqueName="[Table1].[Campaign_Name].[All]" allUniqueName="[Table1].[Campaign_Name].[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Start_Date]" caption="Start_Date" attribute="1" time="1" defaultMemberUniqueName="[Table1].[Start_Date].[All]" allUniqueName="[Table1].[Start_Date].[All]" dimensionUniqueName="[Table1]" displayFolder="" count="0" memberValueDatatype="7" unbalanced="0"/>
    <cacheHierarchy uniqueName="[Table1].[End_Date]" caption="End_Date" attribute="1" time="1" defaultMemberUniqueName="[Table1].[End_Date].[All]" allUniqueName="[Table1].[End_Date].[All]" dimensionUniqueName="[Table1]" displayFolder="" count="0" memberValueDatatype="7" unbalanced="0"/>
    <cacheHierarchy uniqueName="[Table1].[Ad_Spend (NGN)]" caption="Ad_Spend (NGN)" attribute="1" defaultMemberUniqueName="[Table1].[Ad_Spend (NGN)].[All]" allUniqueName="[Table1].[Ad_Spend (NGN)].[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Clicks]" caption="Clicks" attribute="1" defaultMemberUniqueName="[Table1].[Clicks].[All]" allUniqueName="[Table1].[Clicks].[All]" dimensionUniqueName="[Table1]" displayFolder="" count="0" memberValueDatatype="20" unbalanced="0"/>
    <cacheHierarchy uniqueName="[Table1].[Leads]" caption="Leads" attribute="1" defaultMemberUniqueName="[Table1].[Leads].[All]" allUniqueName="[Table1].[Leads].[All]" dimensionUniqueName="[Table1]" displayFolder="" count="0" memberValueDatatype="20" unbalanced="0"/>
    <cacheHierarchy uniqueName="[Table1].[Conversions]" caption="Conversions" attribute="1" defaultMemberUniqueName="[Table1].[Conversions].[All]" allUniqueName="[Table1].[Conversions].[All]" dimensionUniqueName="[Table1]" displayFolder="" count="0" memberValueDatatype="20" unbalanced="0"/>
    <cacheHierarchy uniqueName="[Table1].[Revenue (NGN)]" caption="Revenue (NGN)" attribute="1" defaultMemberUniqueName="[Table1].[Revenue (NGN)].[All]" allUniqueName="[Table1].[Revenue (NGN)].[All]" dimensionUniqueName="[Table1]" displayFolder="" count="0" memberValueDatatype="20" unbalanced="0"/>
    <cacheHierarchy uniqueName="[Table1].[ROI (%)]" caption="ROI (%)" attribute="1" defaultMemberUniqueName="[Table1].[ROI (%)].[All]" allUniqueName="[Table1].[ROI (%)].[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Campaign_Status]" caption="Campaign_Status" attribute="1" defaultMemberUniqueName="[Table1].[Campaign_Status].[All]" allUniqueName="[Table1].[Campaign_Status].[All]" dimensionUniqueName="[Table1]" displayFolder="" count="0" memberValueDatatype="130" unbalanced="0"/>
    <cacheHierarchy uniqueName="[Table1].[Account_Manager]" caption="Account_Manager" attribute="1" defaultMemberUniqueName="[Table1].[Account_Manager].[All]" allUniqueName="[Table1].[Account_Manager].[All]" dimensionUniqueName="[Table1]" displayFolder="" count="0" memberValueDatatype="130" unbalanced="0"/>
    <cacheHierarchy uniqueName="[Table1].[Conversion Rate (%)]" caption="Conversion Rate (%)" attribute="1" defaultMemberUniqueName="[Table1].[Conversion Rate (%)].[All]" allUniqueName="[Table1].[Conversion Rate (%)].[All]" dimensionUniqueName="[Table1]" displayFolder="" count="0" memberValueDatatype="5" unbalanced="0"/>
    <cacheHierarchy uniqueName="[Table1].[Cost Per Lead]" caption="Cost Per Lead" attribute="1" defaultMemberUniqueName="[Table1].[Cost Per Lead].[All]" allUniqueName="[Table1].[Cost Per Lead].[All]" dimensionUniqueName="[Table1]" displayFolder="" count="0" memberValueDatatype="5" unbalanced="0"/>
    <cacheHierarchy uniqueName="[Table1].[Click-Through-Rate]" caption="Click-Through-Rate" attribute="1" defaultMemberUniqueName="[Table1].[Click-Through-Rate].[All]" allUniqueName="[Table1].[Click-Through-Rate].[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Table11].[Campaign_ID]" caption="Campaign_ID" attribute="1" defaultMemberUniqueName="[Table11].[Campaign_ID].[All]" allUniqueName="[Table11].[Campaign_ID].[All]" dimensionUniqueName="[Table11]" displayFolder="" count="0" memberValueDatatype="130" unbalanced="0"/>
    <cacheHierarchy uniqueName="[Table11].[Campaign_Name]" caption="Campaign_Name" attribute="1" defaultMemberUniqueName="[Table11].[Campaign_Name].[All]" allUniqueName="[Table11].[Campaign_Name].[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Start_Date]" caption="Start_Date" attribute="1" time="1" defaultMemberUniqueName="[Table11].[Start_Date].[All]" allUniqueName="[Table11].[Start_Date].[All]" dimensionUniqueName="[Table11]" displayFolder="" count="0" memberValueDatatype="7" unbalanced="0"/>
    <cacheHierarchy uniqueName="[Table11].[End_Date]" caption="End_Date" attribute="1" time="1" defaultMemberUniqueName="[Table11].[End_Date].[All]" allUniqueName="[Table11].[End_Date].[All]" dimensionUniqueName="[Table11]" displayFolder="" count="0" memberValueDatatype="7" unbalanced="0"/>
    <cacheHierarchy uniqueName="[Table11].[Ad_Spend (NGN)]" caption="Ad_Spend (NGN)" attribute="1" defaultMemberUniqueName="[Table11].[Ad_Spend (NGN)].[All]" allUniqueName="[Table11].[Ad_Spend (NGN)].[All]" dimensionUniqueName="[Table11]" displayFolder="" count="0" memberValueDatatype="20" unbalanced="0"/>
    <cacheHierarchy uniqueName="[Table11].[Impressions]" caption="Impressions" attribute="1" defaultMemberUniqueName="[Table11].[Impressions].[All]" allUniqueName="[Table11].[Impressions].[All]" dimensionUniqueName="[Table11]" displayFolder="" count="0" memberValueDatatype="20" unbalanced="0"/>
    <cacheHierarchy uniqueName="[Table11].[Clicks]" caption="Clicks" attribute="1" defaultMemberUniqueName="[Table11].[Clicks].[All]" allUniqueName="[Table11].[Clicks].[All]" dimensionUniqueName="[Table11]" displayFolder="" count="0" memberValueDatatype="20" unbalanced="0"/>
    <cacheHierarchy uniqueName="[Table11].[Leads]" caption="Leads" attribute="1" defaultMemberUniqueName="[Table11].[Leads].[All]" allUniqueName="[Table11].[Leads].[All]" dimensionUniqueName="[Table11]" displayFolder="" count="0" memberValueDatatype="20" unbalanced="0"/>
    <cacheHierarchy uniqueName="[Table11].[Conversions]" caption="Conversions" attribute="1" defaultMemberUniqueName="[Table11].[Conversions].[All]" allUniqueName="[Table11].[Conversions].[All]" dimensionUniqueName="[Table11]" displayFolder="" count="0" memberValueDatatype="20" unbalanced="0"/>
    <cacheHierarchy uniqueName="[Table11].[Revenue (NGN)]" caption="Revenue (NGN)" attribute="1" defaultMemberUniqueName="[Table11].[Revenue (NGN)].[All]" allUniqueName="[Table11].[Revenue (NGN)].[All]" dimensionUniqueName="[Table11]" displayFolder="" count="0" memberValueDatatype="20" unbalanced="0"/>
    <cacheHierarchy uniqueName="[Table11].[ROI (%)]" caption="ROI (%)" attribute="1" defaultMemberUniqueName="[Table11].[ROI (%)].[All]" allUniqueName="[Table11].[ROI (%)].[All]" dimensionUniqueName="[Table11]" displayFolder="" count="0" memberValueDatatype="20" unbalanced="0"/>
    <cacheHierarchy uniqueName="[Table11].[Region]" caption="Region" attribute="1" defaultMemberUniqueName="[Table11].[Region].[All]" allUniqueName="[Table11].[Region].[All]" dimensionUniqueName="[Table11]" displayFolder="" count="0" memberValueDatatype="130" unbalanced="0"/>
    <cacheHierarchy uniqueName="[Table11].[Campaign_Status]" caption="Campaign_Status" attribute="1" defaultMemberUniqueName="[Table11].[Campaign_Status].[All]" allUniqueName="[Table11].[Campaign_Status].[All]" dimensionUniqueName="[Table11]" displayFolder="" count="0" memberValueDatatype="130" unbalanced="0"/>
    <cacheHierarchy uniqueName="[Table11].[Account_Manager]" caption="Account_Manager" attribute="1" defaultMemberUniqueName="[Table11].[Account_Manager].[All]" allUniqueName="[Table11].[Account_Manager].[All]" dimensionUniqueName="[Table11]" displayFolder="" count="0" memberValueDatatype="130" unbalanced="0"/>
    <cacheHierarchy uniqueName="[Table11].[Conversion Rate (%)]" caption="Conversion Rate (%)" attribute="1" defaultMemberUniqueName="[Table11].[Conversion Rate (%)].[All]" allUniqueName="[Table11].[Conversion Rate (%)].[All]" dimensionUniqueName="[Table11]" displayFolder="" count="0" memberValueDatatype="5" unbalanced="0"/>
    <cacheHierarchy uniqueName="[Table11].[Cost Per Lead]" caption="Cost Per Lead" attribute="1" defaultMemberUniqueName="[Table11].[Cost Per Lead].[All]" allUniqueName="[Table11].[Cost Per Lead].[All]" dimensionUniqueName="[Table11]" displayFolder="" count="0" memberValueDatatype="5" unbalanced="0"/>
    <cacheHierarchy uniqueName="[Table11].[Click-Through-Rate]" caption="Click-Through-Rate" attribute="1" defaultMemberUniqueName="[Table11].[Click-Through-Rate].[All]" allUniqueName="[Table11].[Click-Through-Rate].[All]" dimensionUniqueName="[Table11]" displayFolder="" count="0" memberValueDatatype="5" unbalanced="0"/>
    <cacheHierarchy uniqueName="[Table11].[Month]" caption="Month" attribute="1" defaultMemberUniqueName="[Table11].[Month].[All]" allUniqueName="[Table11].[Month].[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Sum of ROI (%)]" caption="Sum of ROI (%)" measure="1" displayFolder="" measureGroup="Table1" count="0" hidden="1">
      <extLst>
        <ext xmlns:x15="http://schemas.microsoft.com/office/spreadsheetml/2010/11/main" uri="{B97F6D7D-B522-45F9-BDA1-12C45D357490}">
          <x15:cacheHierarchy aggregatedColumn="11"/>
        </ext>
      </extLst>
    </cacheHierarchy>
    <cacheHierarchy uniqueName="[Measures].[Average of ROI (%)]" caption="Average of ROI (%)" measure="1" displayFolder="" measureGroup="Table1" count="0" hidden="1">
      <extLst>
        <ext xmlns:x15="http://schemas.microsoft.com/office/spreadsheetml/2010/11/main" uri="{B97F6D7D-B522-45F9-BDA1-12C45D357490}">
          <x15:cacheHierarchy aggregatedColumn="11"/>
        </ext>
      </extLst>
    </cacheHierarchy>
    <cacheHierarchy uniqueName="[Measures].[Sum of Revenue (NGN)]" caption="Sum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Ad_Spend (NGN)]" caption="Sum of Ad_Spend (NGN)" measure="1" displayFolder="" measureGroup="Table1" count="0" hidden="1">
      <extLst>
        <ext xmlns:x15="http://schemas.microsoft.com/office/spreadsheetml/2010/11/main" uri="{B97F6D7D-B522-45F9-BDA1-12C45D357490}">
          <x15:cacheHierarchy aggregatedColumn="5"/>
        </ext>
      </extLst>
    </cacheHierarchy>
    <cacheHierarchy uniqueName="[Measures].[Sum of Leads]" caption="Sum of Leads" measure="1" displayFolder="" measureGroup="Table1" count="0" hidden="1">
      <extLst>
        <ext xmlns:x15="http://schemas.microsoft.com/office/spreadsheetml/2010/11/main" uri="{B97F6D7D-B522-45F9-BDA1-12C45D357490}">
          <x15:cacheHierarchy aggregatedColumn="8"/>
        </ext>
      </extLst>
    </cacheHierarchy>
    <cacheHierarchy uniqueName="[Measures].[Sum of Conversions]" caption="Sum of Conversions" measure="1" displayFolder="" measureGroup="Table1" count="0" hidden="1">
      <extLst>
        <ext xmlns:x15="http://schemas.microsoft.com/office/spreadsheetml/2010/11/main" uri="{B97F6D7D-B522-45F9-BDA1-12C45D357490}">
          <x15:cacheHierarchy aggregatedColumn="9"/>
        </ext>
      </extLst>
    </cacheHierarchy>
    <cacheHierarchy uniqueName="[Measures].[Average of Revenue (NGN)]" caption="Average of Revenue (NGN)" measure="1" displayFolder="" measureGroup="Table1" count="0" hidden="1">
      <extLst>
        <ext xmlns:x15="http://schemas.microsoft.com/office/spreadsheetml/2010/11/main" uri="{B97F6D7D-B522-45F9-BDA1-12C45D357490}">
          <x15:cacheHierarchy aggregatedColumn="10"/>
        </ext>
      </extLst>
    </cacheHierarchy>
    <cacheHierarchy uniqueName="[Measures].[Sum of ROI (%) 2]" caption="Sum of ROI (%) 2" measure="1" displayFolder="" measureGroup="Table11" count="0" hidden="1">
      <extLst>
        <ext xmlns:x15="http://schemas.microsoft.com/office/spreadsheetml/2010/11/main" uri="{B97F6D7D-B522-45F9-BDA1-12C45D357490}">
          <x15:cacheHierarchy aggregatedColumn="30"/>
        </ext>
      </extLst>
    </cacheHierarchy>
    <cacheHierarchy uniqueName="[Measures].[Average of ROI (%) 2]" caption="Average of ROI (%) 2" measure="1" displayFolder="" measureGroup="Table11" count="0" hidden="1">
      <extLst>
        <ext xmlns:x15="http://schemas.microsoft.com/office/spreadsheetml/2010/11/main" uri="{B97F6D7D-B522-45F9-BDA1-12C45D357490}">
          <x15:cacheHierarchy aggregatedColumn="30"/>
        </ext>
      </extLst>
    </cacheHierarchy>
    <cacheHierarchy uniqueName="[Measures].[Sum of Revenue (NGN) 2]" caption="Sum of Revenue (NGN) 2" measure="1" displayFolder="" measureGroup="Table11" count="0" hidden="1">
      <extLst>
        <ext xmlns:x15="http://schemas.microsoft.com/office/spreadsheetml/2010/11/main" uri="{B97F6D7D-B522-45F9-BDA1-12C45D357490}">
          <x15:cacheHierarchy aggregatedColumn="29"/>
        </ext>
      </extLst>
    </cacheHierarchy>
    <cacheHierarchy uniqueName="[Measures].[Sum of Ad_Spend (NGN) 2]" caption="Sum of Ad_Spend (NGN) 2" measure="1" displayFolder="" measureGroup="Table11" count="0" hidden="1">
      <extLst>
        <ext xmlns:x15="http://schemas.microsoft.com/office/spreadsheetml/2010/11/main" uri="{B97F6D7D-B522-45F9-BDA1-12C45D357490}">
          <x15:cacheHierarchy aggregatedColumn="24"/>
        </ext>
      </extLst>
    </cacheHierarchy>
    <cacheHierarchy uniqueName="[Measures].[Sum of Leads 2]" caption="Sum of Leads 2" measure="1" displayFolder="" measureGroup="Table11" count="0" hidden="1">
      <extLst>
        <ext xmlns:x15="http://schemas.microsoft.com/office/spreadsheetml/2010/11/main" uri="{B97F6D7D-B522-45F9-BDA1-12C45D357490}">
          <x15:cacheHierarchy aggregatedColumn="27"/>
        </ext>
      </extLst>
    </cacheHierarchy>
    <cacheHierarchy uniqueName="[Measures].[Sum of Conversions 2]" caption="Sum of Conversions 2" measure="1" displayFolder="" measureGroup="Table11" count="0" hidden="1">
      <extLst>
        <ext xmlns:x15="http://schemas.microsoft.com/office/spreadsheetml/2010/11/main" uri="{B97F6D7D-B522-45F9-BDA1-12C45D357490}">
          <x15:cacheHierarchy aggregatedColumn="28"/>
        </ext>
      </extLst>
    </cacheHierarchy>
    <cacheHierarchy uniqueName="[Measures].[Average of Revenue (NGN) 2]" caption="Average of Revenue (NGN) 2" measure="1" displayFolder="" measureGroup="Table1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2">
    <map measureGroup="0" dimension="1"/>
    <map measureGroup="1" dimension="2"/>
  </maps>
  <extLst>
    <ext xmlns:x14="http://schemas.microsoft.com/office/spreadsheetml/2009/9/main" uri="{725AE2AE-9491-48be-B2B4-4EB974FC3084}">
      <x14:pivotCacheDefinition slicerData="1" pivotCacheId="6629308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F07EB-5F7F-4BB1-B7DE-9279BC21B240}"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Campaign Name">
  <location ref="H3:H4" firstHeaderRow="1" firstDataRow="1" firstDataCol="0"/>
  <pivotFields count="1">
    <pivotField dataField="1" subtotalTop="0" showAll="0" defaultSubtotal="0"/>
  </pivotFields>
  <rowItems count="1">
    <i/>
  </rowItems>
  <colItems count="1">
    <i/>
  </colItems>
  <dataFields count="1">
    <dataField name="Sum of Revenue (NGN)" fld="0" baseField="0" baseItem="0"/>
  </dataFields>
  <formats count="1">
    <format dxfId="3">
      <pivotArea grandRow="1"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7F1A2-37A6-4D92-BD1D-13C254ABA630}"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Campaign Name">
  <location ref="A3:B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ROI (%)" fld="1"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EF603F-20B3-4663-9A5A-52F41308AE09}"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Month">
  <location ref="E3:F7" firstHeaderRow="1" firstDataRow="1" firstDataCol="1"/>
  <pivotFields count="2">
    <pivotField axis="axisRow" allDrilled="1" subtotalTop="0" showAll="0" sortType="ascending" defaultSubtotal="0" defaultAttributeDrillState="1">
      <items count="3">
        <item x="1"/>
        <item x="0"/>
        <item x="2"/>
      </items>
    </pivotField>
    <pivotField dataField="1" subtotalTop="0" showAll="0" defaultSubtotal="0"/>
  </pivotFields>
  <rowFields count="1">
    <field x="0"/>
  </rowFields>
  <rowItems count="4">
    <i>
      <x/>
    </i>
    <i>
      <x v="1"/>
    </i>
    <i>
      <x v="2"/>
    </i>
    <i t="grand">
      <x/>
    </i>
  </rowItems>
  <colItems count="1">
    <i/>
  </colItems>
  <dataFields count="1">
    <dataField name="Sum of Revenue (NGN)" fld="1" baseField="0" baseItem="0"/>
  </dataFields>
  <formats count="3">
    <format dxfId="6">
      <pivotArea collapsedLevelsAreSubtotals="1" fieldPosition="0">
        <references count="1">
          <reference field="0" count="1">
            <x v="1"/>
          </reference>
        </references>
      </pivotArea>
    </format>
    <format dxfId="5">
      <pivotArea collapsedLevelsAreSubtotals="1" fieldPosition="0">
        <references count="1">
          <reference field="0" count="2">
            <x v="0"/>
            <x v="2"/>
          </reference>
        </references>
      </pivotArea>
    </format>
    <format dxfId="4">
      <pivotArea grandRow="1" outline="0" collapsedLevelsAreSubtotals="1" fieldPosition="0"/>
    </format>
  </formats>
  <chartFormats count="5">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5" format="5">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A2EB0-6D27-4096-A200-33C1F0913B0A}" name="PivotTable10"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ampaign Name">
  <location ref="A26:A27" firstHeaderRow="1" firstDataRow="1" firstDataCol="0"/>
  <pivotFields count="1">
    <pivotField dataField="1" subtotalTop="0" showAll="0" defaultSubtotal="0"/>
  </pivotFields>
  <rowItems count="1">
    <i/>
  </rowItems>
  <colItems count="1">
    <i/>
  </colItems>
  <dataFields count="1">
    <dataField name="Sum of Leads" fld="0" baseField="0" baseItem="0" numFmtId="1"/>
  </dataFields>
  <formats count="2">
    <format dxfId="8">
      <pivotArea grandRow="1" outline="0" collapsedLevelsAreSubtotals="1" fieldPosition="0"/>
    </format>
    <format dxfId="7">
      <pivotArea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DA1E81-4881-433E-9822-FEC844C9EC08}" name="PivotTable8"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ampaign Name">
  <location ref="A18:A19" firstHeaderRow="1" firstDataRow="1" firstDataCol="0"/>
  <pivotFields count="1">
    <pivotField dataField="1" subtotalTop="0" showAll="0" defaultSubtotal="0"/>
  </pivotFields>
  <rowItems count="1">
    <i/>
  </rowItems>
  <colItems count="1">
    <i/>
  </colItems>
  <dataFields count="1">
    <dataField name="Sum of Ad_Spend (NGN)" fld="0" baseField="0" baseItem="0"/>
  </dataFields>
  <formats count="1">
    <format dxfId="9">
      <pivotArea grandRow="1"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19D826-5DBD-4895-A663-39C9FD5B506A}"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ampaign Name">
  <location ref="C26:C27" firstHeaderRow="1" firstDataRow="1" firstDataCol="0"/>
  <pivotFields count="1">
    <pivotField dataField="1" subtotalTop="0" showAll="0" defaultSubtotal="0"/>
  </pivotFields>
  <rowItems count="1">
    <i/>
  </rowItems>
  <colItems count="1">
    <i/>
  </colItems>
  <dataFields count="1">
    <dataField name="Sum of Conversions" fld="0" baseField="0" baseItem="0" numFmtId="3"/>
  </dataFields>
  <formats count="2">
    <format dxfId="11">
      <pivotArea grandRow="1" outline="0" collapsedLevelsAreSubtotals="1" fieldPosition="0"/>
    </format>
    <format dxfId="10">
      <pivotArea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251EA3-4CEC-451E-9BD1-3A1A2777FBF8}" name="PivotTable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ampaign Name">
  <location ref="A22:A23" firstHeaderRow="1" firstDataRow="1" firstDataCol="0"/>
  <pivotFields count="1">
    <pivotField dataField="1" subtotalTop="0" showAll="0" defaultSubtotal="0"/>
  </pivotFields>
  <rowItems count="1">
    <i/>
  </rowItems>
  <colItems count="1">
    <i/>
  </colItems>
  <dataFields count="1">
    <dataField name="Average of ROI (%)" fld="0" subtotal="average" baseField="0" baseItem="0" numFmtId="4"/>
  </dataFields>
  <formats count="2">
    <format dxfId="13">
      <pivotArea grandRow="1" outline="0" collapsedLevelsAreSubtotals="1" fieldPosition="0"/>
    </format>
    <format dxfId="12">
      <pivotArea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3C002C-1CD3-47FA-B620-2C216D3C3F6F}" name="PivotTable7"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Campaign Name">
  <location ref="A14:A15" firstHeaderRow="1" firstDataRow="1" firstDataCol="0"/>
  <pivotFields count="1">
    <pivotField dataField="1" subtotalTop="0" showAll="0" defaultSubtotal="0"/>
  </pivotFields>
  <rowItems count="1">
    <i/>
  </rowItems>
  <colItems count="1">
    <i/>
  </colItems>
  <dataFields count="1">
    <dataField name="Sum of Revenue (NGN)" fld="0" baseField="0" baseItem="0"/>
  </dataFields>
  <formats count="1">
    <format dxfId="14">
      <pivotArea grandRow="1" outline="0" collapsedLevelsAreSubtotals="1" fieldPosition="0"/>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669A34-B377-49B1-86D6-579F0D7DC284}"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rowHeaderCaption="Month">
  <location ref="E37:J41" firstHeaderRow="0" firstDataRow="1" firstDataCol="1"/>
  <pivotFields count="6">
    <pivotField axis="axisRow" allDrilled="1" subtotalTop="0" showAll="0" sortType="ascending" defaultSubtotal="0" defaultAttributeDrillState="1">
      <items count="3">
        <item x="1"/>
        <item x="0"/>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5">
    <i>
      <x/>
    </i>
    <i i="1">
      <x v="1"/>
    </i>
    <i i="2">
      <x v="2"/>
    </i>
    <i i="3">
      <x v="3"/>
    </i>
    <i i="4">
      <x v="4"/>
    </i>
  </colItems>
  <dataFields count="5">
    <dataField name="Sum of Revenue (NGN)" fld="5" baseField="0" baseItem="0"/>
    <dataField name="Sum of Ad_Spend (NGN)" fld="4" baseField="0" baseItem="0"/>
    <dataField name="Average of ROI (%)" fld="1" subtotal="average" baseField="0" baseItem="0"/>
    <dataField name="Sum of Conversions" fld="3" baseField="0" baseItem="0"/>
    <dataField name="Sum of Leads" fld="2" baseField="0" baseItem="0"/>
  </dataFields>
  <formats count="3">
    <format dxfId="17">
      <pivotArea grandRow="1" outline="0" collapsedLevelsAreSubtotals="1" fieldPosition="0"/>
    </format>
    <format dxfId="16">
      <pivotArea collapsedLevelsAreSubtotals="1" fieldPosition="0">
        <references count="1">
          <reference field="0" count="1">
            <x v="1"/>
          </reference>
        </references>
      </pivotArea>
    </format>
    <format dxfId="15">
      <pivotArea collapsedLevelsAreSubtotals="1" fieldPosition="0">
        <references count="1">
          <reference field="0" count="2">
            <x v="0"/>
            <x v="2"/>
          </reference>
        </references>
      </pivotArea>
    </format>
  </formats>
  <chartFormats count="6">
    <chartFormat chart="29" format="22" series="1">
      <pivotArea type="data" outline="0" fieldPosition="0">
        <references count="1">
          <reference field="4294967294" count="1" selected="0">
            <x v="0"/>
          </reference>
        </references>
      </pivotArea>
    </chartFormat>
    <chartFormat chart="29" format="23">
      <pivotArea type="data" outline="0" fieldPosition="0">
        <references count="2">
          <reference field="4294967294" count="1" selected="0">
            <x v="0"/>
          </reference>
          <reference field="0" count="1" selected="0">
            <x v="0"/>
          </reference>
        </references>
      </pivotArea>
    </chartFormat>
    <chartFormat chart="29" format="24" series="1">
      <pivotArea type="data" outline="0" fieldPosition="0">
        <references count="1">
          <reference field="4294967294" count="1" selected="0">
            <x v="1"/>
          </reference>
        </references>
      </pivotArea>
    </chartFormat>
    <chartFormat chart="29" format="25" series="1">
      <pivotArea type="data" outline="0" fieldPosition="0">
        <references count="1">
          <reference field="4294967294" count="1" selected="0">
            <x v="2"/>
          </reference>
        </references>
      </pivotArea>
    </chartFormat>
    <chartFormat chart="29" format="26" series="1">
      <pivotArea type="data" outline="0" fieldPosition="0">
        <references count="1">
          <reference field="4294967294" count="1" selected="0">
            <x v="3"/>
          </reference>
        </references>
      </pivotArea>
    </chartFormat>
    <chartFormat chart="29" format="27" series="1">
      <pivotArea type="data" outline="0" fieldPosition="0">
        <references count="1">
          <reference field="4294967294" count="1" selected="0">
            <x v="4"/>
          </reference>
        </references>
      </pivotArea>
    </chartFormat>
  </chart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5DFF39-2741-4BEC-81A8-1BDE019ABB28}"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rowHeaderCaption="Channel">
  <location ref="E11:H23"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Revenue (NGN)" fld="1" baseField="0" baseItem="0" numFmtId="3"/>
    <dataField name="Sum of Ad_Spend (NGN)" fld="2" baseField="0" baseItem="0" numFmtId="3"/>
    <dataField name="Sum of Conversions" fld="3" baseField="0" baseItem="0" numFmtId="3"/>
  </dataFields>
  <formats count="3">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2"/>
          </reference>
        </references>
      </pivotArea>
    </format>
  </formats>
  <pivotHierarchies count="5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_Dataset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5D204256-7517-490F-8F7E-DAE361D46369}" sourceName="[Table11].[Channel]">
  <data>
    <olap pivotCacheId="662930840">
      <levels count="2">
        <level uniqueName="[Table11].[Channel].[(All)]" sourceCaption="(All)" count="0"/>
        <level uniqueName="[Table11].[Channel].[Channel]" sourceCaption="Channel" count="11">
          <ranges>
            <range startItem="0">
              <i n="[Table11].[Channel].&amp;[Affiliate]" c="Affiliate"/>
              <i n="[Table11].[Channel].&amp;[Audio Ads]" c="Audio Ads"/>
              <i n="[Table11].[Channel].&amp;[Display]" c="Display"/>
              <i n="[Table11].[Channel].&amp;[Email]" c="Email"/>
              <i n="[Table11].[Channel].&amp;[Influencer]" c="Influencer"/>
              <i n="[Table11].[Channel].&amp;[Messaging]" c="Messaging"/>
              <i n="[Table11].[Channel].&amp;[Organic]" c="Organic"/>
              <i n="[Table11].[Channel].&amp;[Paid Ads]" c="Paid Ads"/>
              <i n="[Table11].[Channel].&amp;[Referral]" c="Referral"/>
              <i n="[Table11].[Channel].&amp;[Social Media]" c="Social Media"/>
              <i n="[Table11].[Channel].&amp;[Video Ads]" c="Video Ads"/>
            </range>
          </ranges>
        </level>
      </levels>
      <selections count="1">
        <selection n="[Table11].[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0A0132-3237-4AF1-80C0-225578EA1590}" sourceName="[Table11].[Region]">
  <data>
    <olap pivotCacheId="662930840">
      <levels count="2">
        <level uniqueName="[Table11].[Region].[(All)]" sourceCaption="(All)" count="0"/>
        <level uniqueName="[Table11].[Region].[Region]" sourceCaption="Region" count="4">
          <ranges>
            <range startItem="0">
              <i n="[Table11].[Region].&amp;[Abuja]" c="Abuja"/>
              <i n="[Table11].[Region].&amp;[Lagos]" c="Lagos"/>
              <i n="[Table11].[Region].&amp;[Nationwide]" c="Nationwide"/>
              <i n="[Table11].[Region].&amp;[Port Harcourt]" c="Port Harcourt"/>
            </range>
          </ranges>
        </level>
      </levels>
      <selections count="1">
        <selection n="[Table1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E45E6CCB-7186-4670-8C7A-C538AA69F2D6}" cache="Slicer_Channel" caption="Channel" level="1" rowHeight="234950"/>
  <slicer name="Region 1" xr10:uid="{B6132E49-D736-41A2-8D43-D74269E9C208}"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5EF10-9C0B-47BD-AAB2-DFAA596AACA0}" name="Table1" displayName="Table1" ref="A1:T32" totalsRowCount="1">
  <autoFilter ref="A1:T31" xr:uid="{500D2874-10A9-4E15-A107-13D8B6C0E6BB}"/>
  <tableColumns count="20">
    <tableColumn id="1" xr3:uid="{2BAA3695-6136-4F5B-82EE-B9F518E7D4DE}" name="Campaign_ID"/>
    <tableColumn id="2" xr3:uid="{75FB7AE6-D1CD-4893-A730-C71E8885954F}" name="Campaign_Name"/>
    <tableColumn id="3" xr3:uid="{2266AC77-82EB-4792-9A88-50D4D977225E}" name="Channel"/>
    <tableColumn id="4" xr3:uid="{7E704F61-C54D-48AB-8370-F530885D28DF}" name="Start_Date" dataDxfId="35" totalsRowDxfId="34"/>
    <tableColumn id="5" xr3:uid="{9F259FFD-0B46-4292-9D18-FA2862B69646}" name="End_Date" dataDxfId="33"/>
    <tableColumn id="6" xr3:uid="{53B51880-2B4E-4209-A82B-7981E3BB9FBD}" name="Ad_Spend (NGN)" totalsRowFunction="custom" dataDxfId="32" totalsRowDxfId="31">
      <totalsRowFormula>SUM(F2:F21)</totalsRowFormula>
    </tableColumn>
    <tableColumn id="7" xr3:uid="{A86AEC87-F6E4-4591-B340-6E624082F547}" name="Impressions" dataDxfId="30" totalsRowDxfId="29"/>
    <tableColumn id="8" xr3:uid="{ED1394D7-AF4C-4C01-A2A2-2C64A2F43488}" name="Clicks"/>
    <tableColumn id="9" xr3:uid="{BB477788-2D7C-4273-A2C0-F416BD66930D}" name="Leads"/>
    <tableColumn id="10" xr3:uid="{86E40F49-C770-4A61-918C-54A692DFBCBB}" name="Conversions"/>
    <tableColumn id="11" xr3:uid="{710F91A6-E1EE-44F4-9B98-3DCCA30CA12C}" name="Revenue (NGN)" totalsRowFunction="custom" dataDxfId="28" totalsRowDxfId="27">
      <totalsRowFormula>SUM(K2:K31)</totalsRowFormula>
    </tableColumn>
    <tableColumn id="12" xr3:uid="{0F960BD8-9C30-454C-895E-77F30F4362B5}" name="ROI (%)" totalsRowFunction="custom">
      <totalsRowFormula>((K2-H2)/H2)*100</totalsRowFormula>
    </tableColumn>
    <tableColumn id="13" xr3:uid="{F3481919-C0C4-4531-8AF2-ED6F2F502152}" name="Region"/>
    <tableColumn id="14" xr3:uid="{2755F09C-4E79-46B4-8BA7-62E4ACDF609C}" name="Campaign_Status"/>
    <tableColumn id="15" xr3:uid="{A627C060-4B02-4716-BD28-B6F95E655C7C}" name="Account_Manager"/>
    <tableColumn id="18" xr3:uid="{F7B2BC5B-978C-4D4C-9BFF-A2138EA7E541}" name="Conversion Rate (%)" dataDxfId="26">
      <calculatedColumnFormula>(J2/I2)*100</calculatedColumnFormula>
    </tableColumn>
    <tableColumn id="19" xr3:uid="{DF73E3F1-EE6D-44C0-8386-9A5A28F81099}" name="Cost Per Lead" dataDxfId="25" totalsRowDxfId="24">
      <calculatedColumnFormula>(F2/I2)</calculatedColumnFormula>
    </tableColumn>
    <tableColumn id="21" xr3:uid="{655AA519-111E-4845-A26F-525614FFC0C9}" name="Click-Through-Rate" dataDxfId="23">
      <calculatedColumnFormula>IF(G2=0,0,(H2/G2)*100)</calculatedColumnFormula>
    </tableColumn>
    <tableColumn id="22" xr3:uid="{B5CF43C8-7EF3-45A6-A355-526C60240513}" name="Month " dataDxfId="22">
      <calculatedColumnFormula>TEXT(D2, "mmmm")</calculatedColumnFormula>
    </tableColumn>
    <tableColumn id="16" xr3:uid="{1EF2D6DA-E834-453A-B7B3-6C610954AC8C}" name="Segment" dataDxfId="21">
      <calculatedColumnFormula>IF(L2&gt;=300,"High Performer",IF(L2&gt;=100,"Average Performer","Low Performer"))</calculatedColumnFormula>
    </tableColumn>
  </tableColumns>
  <tableStyleInfo name="TableStyleLight8" showFirstColumn="0" showLastColumn="0" showRowStripes="1" showColumnStripes="0"/>
</table>
</file>

<file path=xl/theme/theme1.xml><?xml version="1.0" encoding="utf-8"?>
<a:theme xmlns:a="http://schemas.openxmlformats.org/drawingml/2006/main" name="Fra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662C-D514-4706-8B02-8A073E362678}">
  <dimension ref="A1:P33"/>
  <sheetViews>
    <sheetView topLeftCell="B1" workbookViewId="0">
      <selection activeCell="F15" sqref="F15"/>
    </sheetView>
  </sheetViews>
  <sheetFormatPr defaultRowHeight="14.4" x14ac:dyDescent="0.3"/>
  <cols>
    <col min="1" max="1" width="17.33203125" customWidth="1"/>
    <col min="2" max="2" width="23.44140625" customWidth="1"/>
    <col min="3" max="3" width="23.6640625" customWidth="1"/>
    <col min="4" max="4" width="21.88671875" customWidth="1"/>
    <col min="5" max="5" width="14.21875" customWidth="1"/>
    <col min="6" max="6" width="15.77734375" customWidth="1"/>
    <col min="7" max="7" width="13.88671875" customWidth="1"/>
    <col min="8" max="8" width="15.6640625" customWidth="1"/>
    <col min="10" max="10" width="14.33203125" customWidth="1"/>
    <col min="11" max="11" width="15" customWidth="1"/>
    <col min="12" max="12" width="15.5546875" customWidth="1"/>
    <col min="14" max="14" width="21.88671875" customWidth="1"/>
    <col min="16" max="16" width="15.332031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row>
    <row r="2" spans="1:16" x14ac:dyDescent="0.3">
      <c r="A2" t="s">
        <v>15</v>
      </c>
      <c r="B2" t="s">
        <v>16</v>
      </c>
      <c r="C2" t="s">
        <v>17</v>
      </c>
      <c r="D2" s="1">
        <v>45474</v>
      </c>
      <c r="E2" s="1">
        <v>45504</v>
      </c>
      <c r="F2" s="2">
        <v>450000</v>
      </c>
      <c r="G2" s="2">
        <v>120000</v>
      </c>
      <c r="H2">
        <v>3600</v>
      </c>
      <c r="I2">
        <v>180</v>
      </c>
      <c r="J2">
        <v>45</v>
      </c>
      <c r="K2" s="2">
        <v>1800000</v>
      </c>
      <c r="L2">
        <v>300</v>
      </c>
      <c r="M2" t="s">
        <v>18</v>
      </c>
      <c r="N2" t="s">
        <v>19</v>
      </c>
      <c r="O2" t="s">
        <v>20</v>
      </c>
    </row>
    <row r="3" spans="1:16" x14ac:dyDescent="0.3">
      <c r="A3" t="s">
        <v>21</v>
      </c>
      <c r="B3" t="s">
        <v>22</v>
      </c>
      <c r="C3" t="s">
        <v>23</v>
      </c>
      <c r="D3" s="1">
        <v>45478</v>
      </c>
      <c r="E3" s="1">
        <v>45503</v>
      </c>
      <c r="F3" s="2">
        <v>820000</v>
      </c>
      <c r="G3" s="2">
        <v>350000</v>
      </c>
      <c r="H3">
        <v>7000</v>
      </c>
      <c r="I3">
        <v>210</v>
      </c>
      <c r="J3">
        <v>63</v>
      </c>
      <c r="K3" s="2">
        <v>2460000</v>
      </c>
      <c r="L3">
        <v>200</v>
      </c>
      <c r="M3" t="s">
        <v>24</v>
      </c>
      <c r="N3" t="s">
        <v>19</v>
      </c>
      <c r="O3" t="s">
        <v>25</v>
      </c>
    </row>
    <row r="4" spans="1:16" x14ac:dyDescent="0.3">
      <c r="A4" t="s">
        <v>26</v>
      </c>
      <c r="B4" t="s">
        <v>27</v>
      </c>
      <c r="C4" t="s">
        <v>28</v>
      </c>
      <c r="D4" s="1">
        <v>45474</v>
      </c>
      <c r="E4" s="1">
        <v>45504</v>
      </c>
      <c r="F4" s="2">
        <v>300000</v>
      </c>
      <c r="G4" s="2">
        <v>95000</v>
      </c>
      <c r="H4">
        <v>2850</v>
      </c>
      <c r="I4">
        <v>95</v>
      </c>
      <c r="J4">
        <v>28</v>
      </c>
      <c r="K4" s="2">
        <v>560000</v>
      </c>
      <c r="L4">
        <v>87</v>
      </c>
      <c r="M4" t="s">
        <v>18</v>
      </c>
      <c r="N4" t="s">
        <v>19</v>
      </c>
      <c r="O4" t="s">
        <v>20</v>
      </c>
    </row>
    <row r="5" spans="1:16" x14ac:dyDescent="0.3">
      <c r="A5" t="s">
        <v>29</v>
      </c>
      <c r="B5" t="s">
        <v>30</v>
      </c>
      <c r="C5" t="s">
        <v>28</v>
      </c>
      <c r="D5" s="1">
        <v>45483</v>
      </c>
      <c r="G5" s="2">
        <v>210000</v>
      </c>
      <c r="H5">
        <v>6300</v>
      </c>
      <c r="I5">
        <v>315</v>
      </c>
      <c r="J5">
        <v>72</v>
      </c>
      <c r="K5" s="2">
        <v>2880000</v>
      </c>
      <c r="N5" t="s">
        <v>24</v>
      </c>
      <c r="O5" t="s">
        <v>31</v>
      </c>
      <c r="P5" t="s">
        <v>32</v>
      </c>
    </row>
    <row r="6" spans="1:16" x14ac:dyDescent="0.3">
      <c r="A6" t="s">
        <v>33</v>
      </c>
      <c r="B6" t="s">
        <v>34</v>
      </c>
      <c r="C6" t="s">
        <v>17</v>
      </c>
      <c r="D6" s="1">
        <v>45488</v>
      </c>
      <c r="E6" s="1">
        <v>45504</v>
      </c>
      <c r="F6" s="2">
        <v>195000</v>
      </c>
      <c r="G6" s="2">
        <v>88000</v>
      </c>
      <c r="H6">
        <v>2640</v>
      </c>
      <c r="I6">
        <v>132</v>
      </c>
      <c r="J6">
        <v>33</v>
      </c>
      <c r="K6" s="2">
        <v>990000</v>
      </c>
      <c r="L6">
        <v>408</v>
      </c>
      <c r="M6" t="s">
        <v>35</v>
      </c>
      <c r="N6" t="s">
        <v>19</v>
      </c>
      <c r="O6" t="s">
        <v>36</v>
      </c>
    </row>
    <row r="7" spans="1:16" x14ac:dyDescent="0.3">
      <c r="A7" t="s">
        <v>37</v>
      </c>
      <c r="B7" t="s">
        <v>38</v>
      </c>
      <c r="C7" t="s">
        <v>23</v>
      </c>
      <c r="D7" s="1">
        <v>45493</v>
      </c>
      <c r="E7" s="1">
        <v>45504</v>
      </c>
      <c r="F7" s="2">
        <v>620000</v>
      </c>
      <c r="G7" s="2">
        <v>430000</v>
      </c>
      <c r="H7">
        <v>8600</v>
      </c>
      <c r="I7">
        <v>258</v>
      </c>
      <c r="J7">
        <v>51</v>
      </c>
      <c r="K7" s="2">
        <v>1530000</v>
      </c>
      <c r="L7">
        <v>147</v>
      </c>
      <c r="M7" t="s">
        <v>18</v>
      </c>
      <c r="N7" t="s">
        <v>19</v>
      </c>
      <c r="O7" t="s">
        <v>25</v>
      </c>
    </row>
    <row r="8" spans="1:16" x14ac:dyDescent="0.3">
      <c r="A8" t="s">
        <v>39</v>
      </c>
      <c r="B8" t="s">
        <v>40</v>
      </c>
      <c r="C8" t="s">
        <v>41</v>
      </c>
      <c r="D8" s="1">
        <v>45495</v>
      </c>
      <c r="E8" s="1">
        <v>45514</v>
      </c>
      <c r="F8" s="2">
        <v>510000</v>
      </c>
      <c r="G8" s="2">
        <v>780000</v>
      </c>
      <c r="H8">
        <v>11700</v>
      </c>
      <c r="I8">
        <v>351</v>
      </c>
      <c r="J8">
        <v>70</v>
      </c>
      <c r="K8" s="2">
        <v>2100000</v>
      </c>
      <c r="L8">
        <v>312</v>
      </c>
      <c r="M8" t="s">
        <v>42</v>
      </c>
      <c r="N8" t="s">
        <v>19</v>
      </c>
      <c r="O8" t="s">
        <v>32</v>
      </c>
    </row>
    <row r="9" spans="1:16" x14ac:dyDescent="0.3">
      <c r="A9" t="s">
        <v>43</v>
      </c>
      <c r="B9" t="s">
        <v>44</v>
      </c>
      <c r="C9" t="s">
        <v>45</v>
      </c>
      <c r="D9" s="1">
        <v>45505</v>
      </c>
      <c r="E9" s="1">
        <v>45535</v>
      </c>
      <c r="F9" s="2">
        <v>380000</v>
      </c>
      <c r="G9" s="2">
        <v>165000</v>
      </c>
      <c r="H9">
        <v>4950</v>
      </c>
      <c r="I9">
        <v>247</v>
      </c>
      <c r="J9">
        <v>61</v>
      </c>
      <c r="K9" s="2">
        <v>1830000</v>
      </c>
      <c r="L9">
        <v>382</v>
      </c>
      <c r="M9" t="s">
        <v>18</v>
      </c>
      <c r="N9" t="s">
        <v>46</v>
      </c>
      <c r="O9" t="s">
        <v>20</v>
      </c>
    </row>
    <row r="10" spans="1:16" x14ac:dyDescent="0.3">
      <c r="A10" t="s">
        <v>47</v>
      </c>
      <c r="B10" t="s">
        <v>48</v>
      </c>
      <c r="C10" t="s">
        <v>23</v>
      </c>
      <c r="D10" s="1">
        <v>45505</v>
      </c>
      <c r="E10" s="1">
        <v>45535</v>
      </c>
      <c r="F10" s="2">
        <v>910000</v>
      </c>
      <c r="G10" s="2">
        <v>480000</v>
      </c>
      <c r="H10">
        <v>9600</v>
      </c>
      <c r="I10">
        <v>384</v>
      </c>
      <c r="J10">
        <v>96</v>
      </c>
      <c r="K10" s="2">
        <v>3840000</v>
      </c>
      <c r="L10">
        <v>322</v>
      </c>
      <c r="M10" t="s">
        <v>24</v>
      </c>
      <c r="N10" t="s">
        <v>19</v>
      </c>
      <c r="O10" t="s">
        <v>25</v>
      </c>
    </row>
    <row r="11" spans="1:16" x14ac:dyDescent="0.3">
      <c r="A11" t="s">
        <v>49</v>
      </c>
      <c r="B11" t="s">
        <v>50</v>
      </c>
      <c r="C11" t="s">
        <v>17</v>
      </c>
      <c r="D11" s="1">
        <v>45509</v>
      </c>
      <c r="E11" s="1">
        <v>45529</v>
      </c>
      <c r="F11" s="2">
        <v>210000</v>
      </c>
      <c r="G11" s="2">
        <v>102000</v>
      </c>
      <c r="H11">
        <v>3060</v>
      </c>
      <c r="I11">
        <v>153</v>
      </c>
      <c r="J11">
        <v>38</v>
      </c>
      <c r="K11" s="2">
        <v>1140000</v>
      </c>
      <c r="L11">
        <v>443</v>
      </c>
      <c r="M11" t="s">
        <v>35</v>
      </c>
      <c r="N11" t="s">
        <v>19</v>
      </c>
      <c r="O11" t="s">
        <v>36</v>
      </c>
    </row>
    <row r="12" spans="1:16" x14ac:dyDescent="0.3">
      <c r="A12" t="s">
        <v>51</v>
      </c>
      <c r="B12" t="s">
        <v>52</v>
      </c>
      <c r="C12" t="s">
        <v>28</v>
      </c>
      <c r="D12" s="1">
        <v>45514</v>
      </c>
      <c r="E12" s="1">
        <v>45535</v>
      </c>
      <c r="F12" s="2">
        <v>270000</v>
      </c>
      <c r="G12" s="2">
        <v>113000</v>
      </c>
      <c r="H12">
        <v>3390</v>
      </c>
      <c r="I12">
        <v>169</v>
      </c>
      <c r="J12">
        <v>42</v>
      </c>
      <c r="K12" s="2">
        <v>1260000</v>
      </c>
      <c r="L12">
        <v>367</v>
      </c>
      <c r="M12" t="s">
        <v>18</v>
      </c>
      <c r="N12" t="s">
        <v>19</v>
      </c>
    </row>
    <row r="13" spans="1:16" x14ac:dyDescent="0.3">
      <c r="A13" t="s">
        <v>53</v>
      </c>
      <c r="B13" t="s">
        <v>54</v>
      </c>
      <c r="C13" t="s">
        <v>41</v>
      </c>
      <c r="D13" s="1">
        <v>45516</v>
      </c>
      <c r="E13" s="1">
        <v>45535</v>
      </c>
      <c r="F13" s="2">
        <v>430000</v>
      </c>
      <c r="G13" s="2">
        <v>920000</v>
      </c>
      <c r="H13">
        <v>18400</v>
      </c>
      <c r="I13">
        <v>552</v>
      </c>
      <c r="J13">
        <v>83</v>
      </c>
      <c r="K13" s="2">
        <v>2490000</v>
      </c>
      <c r="L13">
        <v>479</v>
      </c>
      <c r="M13" t="s">
        <v>42</v>
      </c>
      <c r="N13" t="s">
        <v>19</v>
      </c>
      <c r="O13" t="s">
        <v>32</v>
      </c>
    </row>
    <row r="14" spans="1:16" x14ac:dyDescent="0.3">
      <c r="A14" t="s">
        <v>55</v>
      </c>
      <c r="B14" t="s">
        <v>56</v>
      </c>
      <c r="C14" t="s">
        <v>57</v>
      </c>
      <c r="D14" s="1">
        <v>45518</v>
      </c>
      <c r="E14" s="1">
        <v>45532</v>
      </c>
      <c r="F14" s="2">
        <v>600000</v>
      </c>
      <c r="G14" s="2">
        <v>540000</v>
      </c>
      <c r="H14">
        <v>16200</v>
      </c>
      <c r="I14">
        <v>486</v>
      </c>
      <c r="J14">
        <v>97</v>
      </c>
      <c r="K14" s="2">
        <v>3880000</v>
      </c>
      <c r="L14">
        <v>547</v>
      </c>
      <c r="M14" t="s">
        <v>18</v>
      </c>
      <c r="N14" t="s">
        <v>19</v>
      </c>
      <c r="O14" t="s">
        <v>20</v>
      </c>
    </row>
    <row r="15" spans="1:16" x14ac:dyDescent="0.3">
      <c r="A15" t="s">
        <v>58</v>
      </c>
      <c r="B15" t="s">
        <v>59</v>
      </c>
      <c r="C15" t="s">
        <v>28</v>
      </c>
      <c r="D15" s="1">
        <v>45522</v>
      </c>
      <c r="E15" s="1">
        <v>45535</v>
      </c>
      <c r="F15" s="2">
        <v>340000</v>
      </c>
      <c r="G15" s="2">
        <v>78000</v>
      </c>
      <c r="H15">
        <v>2340</v>
      </c>
      <c r="I15">
        <v>117</v>
      </c>
      <c r="J15">
        <v>29</v>
      </c>
      <c r="K15" s="2">
        <v>1160000</v>
      </c>
      <c r="L15">
        <v>241</v>
      </c>
      <c r="M15" t="s">
        <v>24</v>
      </c>
      <c r="N15" t="s">
        <v>19</v>
      </c>
      <c r="O15" t="s">
        <v>32</v>
      </c>
    </row>
    <row r="16" spans="1:16" x14ac:dyDescent="0.3">
      <c r="A16" t="s">
        <v>60</v>
      </c>
      <c r="B16" t="s">
        <v>61</v>
      </c>
      <c r="C16" t="s">
        <v>17</v>
      </c>
      <c r="D16" s="1">
        <v>45536</v>
      </c>
      <c r="E16" s="1">
        <v>45565</v>
      </c>
      <c r="F16" s="2">
        <v>225000</v>
      </c>
      <c r="G16" s="2">
        <v>111000</v>
      </c>
      <c r="H16">
        <v>3330</v>
      </c>
      <c r="I16">
        <v>166</v>
      </c>
      <c r="J16">
        <v>41</v>
      </c>
      <c r="K16" s="2">
        <v>1230000</v>
      </c>
      <c r="L16">
        <v>447</v>
      </c>
      <c r="M16" t="s">
        <v>35</v>
      </c>
      <c r="N16" t="s">
        <v>19</v>
      </c>
      <c r="O16" t="s">
        <v>36</v>
      </c>
    </row>
    <row r="17" spans="1:15" x14ac:dyDescent="0.3">
      <c r="A17" t="s">
        <v>62</v>
      </c>
      <c r="B17" t="s">
        <v>63</v>
      </c>
      <c r="C17" t="s">
        <v>23</v>
      </c>
      <c r="D17" s="1">
        <v>45536</v>
      </c>
      <c r="E17" s="1">
        <v>45565</v>
      </c>
      <c r="F17" s="2">
        <v>980000</v>
      </c>
      <c r="G17" s="2">
        <v>510000</v>
      </c>
      <c r="H17">
        <v>10200</v>
      </c>
      <c r="I17">
        <v>408</v>
      </c>
      <c r="J17">
        <v>102</v>
      </c>
      <c r="K17" s="2">
        <v>4080000</v>
      </c>
      <c r="L17">
        <v>316</v>
      </c>
      <c r="M17" t="s">
        <v>24</v>
      </c>
      <c r="N17" t="s">
        <v>19</v>
      </c>
      <c r="O17" t="s">
        <v>25</v>
      </c>
    </row>
    <row r="18" spans="1:15" x14ac:dyDescent="0.3">
      <c r="A18" t="s">
        <v>64</v>
      </c>
      <c r="B18" t="s">
        <v>65</v>
      </c>
      <c r="C18" t="s">
        <v>28</v>
      </c>
      <c r="D18" s="1">
        <v>45540</v>
      </c>
      <c r="E18" s="1">
        <v>45565</v>
      </c>
      <c r="F18" s="2">
        <v>310000</v>
      </c>
      <c r="G18" s="2">
        <v>102000</v>
      </c>
      <c r="H18">
        <v>3060</v>
      </c>
      <c r="I18">
        <v>153</v>
      </c>
      <c r="J18">
        <v>38</v>
      </c>
      <c r="K18" s="2">
        <v>1520000</v>
      </c>
      <c r="L18">
        <v>390</v>
      </c>
      <c r="M18" t="s">
        <v>18</v>
      </c>
      <c r="N18" t="s">
        <v>19</v>
      </c>
      <c r="O18" t="s">
        <v>20</v>
      </c>
    </row>
    <row r="19" spans="1:15" x14ac:dyDescent="0.3">
      <c r="A19" t="s">
        <v>66</v>
      </c>
      <c r="B19" t="s">
        <v>67</v>
      </c>
      <c r="C19" t="s">
        <v>23</v>
      </c>
      <c r="D19" s="1">
        <v>45545</v>
      </c>
      <c r="E19" s="1">
        <v>45565</v>
      </c>
      <c r="F19" s="2">
        <v>530000</v>
      </c>
      <c r="G19" s="2">
        <v>360000</v>
      </c>
      <c r="H19">
        <v>7200</v>
      </c>
      <c r="I19">
        <v>216</v>
      </c>
      <c r="J19">
        <v>54</v>
      </c>
      <c r="K19" s="2">
        <v>2160000</v>
      </c>
      <c r="L19">
        <v>308</v>
      </c>
      <c r="M19" t="s">
        <v>18</v>
      </c>
      <c r="N19" t="s">
        <v>19</v>
      </c>
      <c r="O19" t="s">
        <v>25</v>
      </c>
    </row>
    <row r="20" spans="1:15" x14ac:dyDescent="0.3">
      <c r="A20" t="s">
        <v>68</v>
      </c>
      <c r="B20" t="s">
        <v>69</v>
      </c>
      <c r="C20" t="s">
        <v>70</v>
      </c>
      <c r="D20" s="1">
        <v>45547</v>
      </c>
      <c r="E20" s="1">
        <v>45565</v>
      </c>
      <c r="F20" s="2">
        <v>400000</v>
      </c>
      <c r="G20" s="2">
        <v>200000</v>
      </c>
      <c r="H20">
        <v>4000</v>
      </c>
      <c r="I20">
        <v>120</v>
      </c>
      <c r="J20">
        <v>24</v>
      </c>
      <c r="K20" s="2">
        <v>960000</v>
      </c>
      <c r="L20">
        <v>140</v>
      </c>
      <c r="M20" t="s">
        <v>42</v>
      </c>
      <c r="N20" t="s">
        <v>19</v>
      </c>
      <c r="O20" t="s">
        <v>36</v>
      </c>
    </row>
    <row r="21" spans="1:15" x14ac:dyDescent="0.3">
      <c r="A21" t="s">
        <v>71</v>
      </c>
      <c r="B21" t="s">
        <v>72</v>
      </c>
      <c r="C21" t="s">
        <v>17</v>
      </c>
      <c r="D21" s="1">
        <v>45560</v>
      </c>
      <c r="E21" s="1">
        <v>45565</v>
      </c>
      <c r="F21" s="2">
        <v>180000</v>
      </c>
      <c r="G21" s="2">
        <v>95000</v>
      </c>
      <c r="H21">
        <v>2850</v>
      </c>
      <c r="I21">
        <v>142</v>
      </c>
      <c r="J21">
        <v>36</v>
      </c>
      <c r="K21" s="2">
        <v>1440000</v>
      </c>
      <c r="L21">
        <v>700</v>
      </c>
      <c r="M21" t="s">
        <v>18</v>
      </c>
      <c r="N21" t="s">
        <v>19</v>
      </c>
      <c r="O21" t="s">
        <v>20</v>
      </c>
    </row>
    <row r="22" spans="1:15" x14ac:dyDescent="0.3">
      <c r="A22" t="s">
        <v>15</v>
      </c>
      <c r="B22" t="s">
        <v>16</v>
      </c>
      <c r="C22" t="s">
        <v>17</v>
      </c>
      <c r="D22" s="1">
        <v>45474</v>
      </c>
      <c r="E22" s="1">
        <v>45504</v>
      </c>
      <c r="F22" s="2">
        <v>450000</v>
      </c>
      <c r="G22" s="2">
        <v>120000</v>
      </c>
      <c r="H22">
        <v>3600</v>
      </c>
      <c r="I22">
        <v>180</v>
      </c>
      <c r="J22">
        <v>45</v>
      </c>
      <c r="K22" s="2">
        <v>1800000</v>
      </c>
      <c r="L22">
        <v>300</v>
      </c>
      <c r="M22" t="s">
        <v>18</v>
      </c>
      <c r="N22" t="s">
        <v>19</v>
      </c>
      <c r="O22" t="s">
        <v>20</v>
      </c>
    </row>
    <row r="23" spans="1:15" x14ac:dyDescent="0.3">
      <c r="A23" t="s">
        <v>26</v>
      </c>
      <c r="B23" t="s">
        <v>27</v>
      </c>
      <c r="C23" t="s">
        <v>28</v>
      </c>
      <c r="D23" s="1">
        <v>45474</v>
      </c>
      <c r="E23" s="1">
        <v>45504</v>
      </c>
      <c r="F23" s="2">
        <v>300000</v>
      </c>
      <c r="G23" s="2">
        <v>95000</v>
      </c>
      <c r="H23">
        <v>2850</v>
      </c>
      <c r="I23">
        <v>95</v>
      </c>
      <c r="J23">
        <v>28</v>
      </c>
      <c r="K23" s="2">
        <v>560000</v>
      </c>
      <c r="L23">
        <v>87</v>
      </c>
      <c r="M23" t="s">
        <v>18</v>
      </c>
      <c r="N23" t="s">
        <v>19</v>
      </c>
      <c r="O23" t="s">
        <v>20</v>
      </c>
    </row>
    <row r="24" spans="1:15" x14ac:dyDescent="0.3">
      <c r="A24" t="s">
        <v>73</v>
      </c>
      <c r="B24" t="s">
        <v>74</v>
      </c>
      <c r="C24" t="s">
        <v>75</v>
      </c>
      <c r="D24" s="1">
        <v>45481</v>
      </c>
      <c r="E24" s="1">
        <v>45565</v>
      </c>
      <c r="F24" s="2">
        <v>750000</v>
      </c>
      <c r="G24" s="2">
        <v>1200000</v>
      </c>
      <c r="H24">
        <v>24000</v>
      </c>
      <c r="I24">
        <v>720</v>
      </c>
      <c r="J24">
        <v>144</v>
      </c>
      <c r="K24" s="2">
        <v>5760000</v>
      </c>
      <c r="L24">
        <v>668</v>
      </c>
      <c r="M24" t="s">
        <v>42</v>
      </c>
      <c r="N24" t="s">
        <v>19</v>
      </c>
      <c r="O24" t="s">
        <v>32</v>
      </c>
    </row>
    <row r="25" spans="1:15" x14ac:dyDescent="0.3">
      <c r="A25" t="s">
        <v>76</v>
      </c>
      <c r="B25" t="s">
        <v>77</v>
      </c>
      <c r="C25" t="s">
        <v>78</v>
      </c>
      <c r="D25" s="1">
        <v>45524</v>
      </c>
      <c r="E25" s="1">
        <v>45535</v>
      </c>
      <c r="F25" t="s">
        <v>79</v>
      </c>
      <c r="G25" s="2">
        <v>50000</v>
      </c>
      <c r="H25">
        <v>1500</v>
      </c>
      <c r="I25">
        <v>75</v>
      </c>
      <c r="J25">
        <v>18</v>
      </c>
      <c r="K25" s="2">
        <v>720000</v>
      </c>
      <c r="M25" t="s">
        <v>18</v>
      </c>
      <c r="N25" t="s">
        <v>19</v>
      </c>
      <c r="O25" t="s">
        <v>20</v>
      </c>
    </row>
    <row r="26" spans="1:15" x14ac:dyDescent="0.3">
      <c r="A26" t="s">
        <v>80</v>
      </c>
      <c r="B26" t="s">
        <v>81</v>
      </c>
      <c r="C26" t="s">
        <v>70</v>
      </c>
      <c r="D26" s="1">
        <v>45536</v>
      </c>
      <c r="E26" s="1">
        <v>45550</v>
      </c>
      <c r="F26" s="2">
        <v>280000</v>
      </c>
      <c r="G26" s="2">
        <v>90000</v>
      </c>
      <c r="H26">
        <v>1800</v>
      </c>
      <c r="I26">
        <v>54</v>
      </c>
      <c r="J26">
        <v>11</v>
      </c>
      <c r="K26" s="2">
        <v>440000</v>
      </c>
      <c r="L26">
        <v>57</v>
      </c>
      <c r="M26" t="s">
        <v>35</v>
      </c>
      <c r="N26" t="s">
        <v>19</v>
      </c>
      <c r="O26" t="s">
        <v>36</v>
      </c>
    </row>
    <row r="27" spans="1:15" x14ac:dyDescent="0.3">
      <c r="A27" t="s">
        <v>82</v>
      </c>
      <c r="B27" t="s">
        <v>83</v>
      </c>
      <c r="C27" t="s">
        <v>84</v>
      </c>
      <c r="D27" s="1">
        <v>45474</v>
      </c>
      <c r="E27" s="1">
        <v>45565</v>
      </c>
      <c r="F27">
        <v>0</v>
      </c>
      <c r="G27" s="2">
        <v>320000</v>
      </c>
      <c r="H27">
        <v>9600</v>
      </c>
      <c r="I27">
        <v>480</v>
      </c>
      <c r="J27">
        <v>120</v>
      </c>
      <c r="K27" s="2">
        <v>4800000</v>
      </c>
      <c r="M27" t="s">
        <v>42</v>
      </c>
      <c r="N27" t="s">
        <v>19</v>
      </c>
      <c r="O27" t="s">
        <v>32</v>
      </c>
    </row>
    <row r="28" spans="1:15" x14ac:dyDescent="0.3">
      <c r="A28" t="s">
        <v>85</v>
      </c>
      <c r="B28" t="s">
        <v>86</v>
      </c>
      <c r="C28" t="s">
        <v>28</v>
      </c>
      <c r="D28" s="1">
        <v>45505</v>
      </c>
      <c r="E28" s="1">
        <v>45535</v>
      </c>
      <c r="F28" s="2">
        <v>190000</v>
      </c>
      <c r="G28" s="2">
        <v>145000</v>
      </c>
      <c r="H28">
        <v>4350</v>
      </c>
      <c r="I28">
        <v>217</v>
      </c>
      <c r="J28">
        <v>43</v>
      </c>
      <c r="K28" s="2">
        <v>1720000</v>
      </c>
      <c r="L28">
        <v>805</v>
      </c>
      <c r="M28" t="s">
        <v>18</v>
      </c>
      <c r="N28" t="s">
        <v>19</v>
      </c>
      <c r="O28" t="s">
        <v>20</v>
      </c>
    </row>
    <row r="29" spans="1:15" x14ac:dyDescent="0.3">
      <c r="A29" t="s">
        <v>87</v>
      </c>
      <c r="B29" t="s">
        <v>88</v>
      </c>
      <c r="C29" t="s">
        <v>17</v>
      </c>
      <c r="D29" s="1">
        <v>45553</v>
      </c>
      <c r="E29" s="1">
        <v>45565</v>
      </c>
      <c r="F29" s="2">
        <v>85000</v>
      </c>
      <c r="G29" s="2">
        <v>22000</v>
      </c>
      <c r="H29">
        <v>660</v>
      </c>
      <c r="I29">
        <v>99</v>
      </c>
      <c r="J29">
        <v>33</v>
      </c>
      <c r="K29" s="2">
        <v>1980000</v>
      </c>
      <c r="M29" t="s">
        <v>24</v>
      </c>
      <c r="N29" t="s">
        <v>19</v>
      </c>
      <c r="O29" t="s">
        <v>25</v>
      </c>
    </row>
    <row r="30" spans="1:15" x14ac:dyDescent="0.3">
      <c r="A30" t="s">
        <v>89</v>
      </c>
      <c r="B30" t="s">
        <v>90</v>
      </c>
      <c r="C30" t="s">
        <v>23</v>
      </c>
      <c r="D30" s="1">
        <v>45488</v>
      </c>
      <c r="E30" s="1">
        <v>45519</v>
      </c>
      <c r="F30" s="2">
        <v>670000</v>
      </c>
      <c r="G30" s="2">
        <v>890000</v>
      </c>
      <c r="H30">
        <v>17800</v>
      </c>
      <c r="I30">
        <v>534</v>
      </c>
      <c r="J30">
        <v>89</v>
      </c>
      <c r="K30" s="2">
        <v>3560000</v>
      </c>
      <c r="L30">
        <v>431</v>
      </c>
      <c r="M30" t="s">
        <v>42</v>
      </c>
      <c r="N30" t="s">
        <v>46</v>
      </c>
      <c r="O30" t="s">
        <v>32</v>
      </c>
    </row>
    <row r="31" spans="1:15" x14ac:dyDescent="0.3">
      <c r="A31" t="s">
        <v>91</v>
      </c>
      <c r="B31" t="s">
        <v>92</v>
      </c>
      <c r="C31" t="s">
        <v>75</v>
      </c>
      <c r="D31" s="1">
        <v>45540</v>
      </c>
      <c r="E31" s="1">
        <v>45565</v>
      </c>
      <c r="F31" s="2">
        <v>490000</v>
      </c>
      <c r="G31" s="2">
        <v>620000</v>
      </c>
      <c r="H31">
        <v>12400</v>
      </c>
      <c r="I31">
        <v>310</v>
      </c>
      <c r="J31">
        <v>62</v>
      </c>
      <c r="K31" s="2">
        <v>2480000</v>
      </c>
      <c r="L31">
        <v>406</v>
      </c>
      <c r="M31" t="s">
        <v>24</v>
      </c>
      <c r="N31" t="s">
        <v>19</v>
      </c>
      <c r="O31" t="s">
        <v>25</v>
      </c>
    </row>
    <row r="32" spans="1:15" x14ac:dyDescent="0.3">
      <c r="A32" t="s">
        <v>93</v>
      </c>
      <c r="B32" t="s">
        <v>94</v>
      </c>
      <c r="C32" t="s">
        <v>28</v>
      </c>
      <c r="D32" s="1">
        <v>45563</v>
      </c>
      <c r="E32" s="1">
        <v>45565</v>
      </c>
      <c r="F32" s="2">
        <v>120000</v>
      </c>
      <c r="G32" s="2">
        <v>40000</v>
      </c>
      <c r="H32">
        <v>1200</v>
      </c>
      <c r="I32">
        <v>60</v>
      </c>
      <c r="J32">
        <v>12</v>
      </c>
      <c r="K32" t="s">
        <v>95</v>
      </c>
      <c r="M32" t="s">
        <v>18</v>
      </c>
      <c r="N32" t="s">
        <v>96</v>
      </c>
    </row>
    <row r="33" spans="1:15" x14ac:dyDescent="0.3">
      <c r="A33" t="s">
        <v>97</v>
      </c>
      <c r="B33" t="s">
        <v>98</v>
      </c>
      <c r="C33" t="s">
        <v>99</v>
      </c>
      <c r="D33" s="1">
        <v>45474</v>
      </c>
      <c r="E33" s="1">
        <v>45565</v>
      </c>
      <c r="F33" s="2">
        <v>250000</v>
      </c>
      <c r="H33">
        <v>3000</v>
      </c>
      <c r="I33">
        <v>600</v>
      </c>
      <c r="J33">
        <v>200</v>
      </c>
      <c r="K33" s="2">
        <v>8000000</v>
      </c>
      <c r="L33">
        <v>3100</v>
      </c>
      <c r="M33" t="s">
        <v>42</v>
      </c>
      <c r="N33" t="s">
        <v>19</v>
      </c>
      <c r="O33"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BA0-230B-41E1-8CA8-C64136F46081}">
  <dimension ref="A1:T33"/>
  <sheetViews>
    <sheetView zoomScale="88" workbookViewId="0">
      <pane ySplit="1" topLeftCell="A2" activePane="bottomLeft" state="frozen"/>
      <selection pane="bottomLeft" activeCell="J7" sqref="J7"/>
    </sheetView>
  </sheetViews>
  <sheetFormatPr defaultRowHeight="14.4" x14ac:dyDescent="0.3"/>
  <cols>
    <col min="1" max="1" width="17.33203125" customWidth="1"/>
    <col min="2" max="2" width="23.44140625" customWidth="1"/>
    <col min="3" max="3" width="23.6640625" customWidth="1"/>
    <col min="4" max="4" width="21.88671875" customWidth="1"/>
    <col min="5" max="5" width="14.21875" style="3" customWidth="1"/>
    <col min="6" max="6" width="16.88671875" style="2" customWidth="1"/>
    <col min="7" max="7" width="13.88671875" style="4" customWidth="1"/>
    <col min="8" max="8" width="15.6640625" customWidth="1"/>
    <col min="9" max="9" width="19.21875" customWidth="1"/>
    <col min="10" max="10" width="14.33203125" customWidth="1"/>
    <col min="11" max="12" width="15.5546875" customWidth="1"/>
    <col min="13" max="13" width="12.5546875" customWidth="1"/>
    <col min="14" max="14" width="21.88671875" customWidth="1"/>
    <col min="15" max="15" width="27.5546875" customWidth="1"/>
    <col min="16" max="16" width="16.44140625" customWidth="1"/>
    <col min="17" max="17" width="17.21875" customWidth="1"/>
    <col min="18" max="18" width="19.21875" customWidth="1"/>
    <col min="19" max="19" width="15" customWidth="1"/>
    <col min="20" max="20" width="20.77734375" customWidth="1"/>
  </cols>
  <sheetData>
    <row r="1" spans="1:20" x14ac:dyDescent="0.3">
      <c r="A1" t="s">
        <v>0</v>
      </c>
      <c r="B1" t="s">
        <v>1</v>
      </c>
      <c r="C1" t="s">
        <v>2</v>
      </c>
      <c r="D1" t="s">
        <v>3</v>
      </c>
      <c r="E1" s="3" t="s">
        <v>4</v>
      </c>
      <c r="F1" s="2" t="s">
        <v>5</v>
      </c>
      <c r="G1" s="4" t="s">
        <v>6</v>
      </c>
      <c r="H1" t="s">
        <v>7</v>
      </c>
      <c r="I1" t="s">
        <v>8</v>
      </c>
      <c r="J1" t="s">
        <v>9</v>
      </c>
      <c r="K1" t="s">
        <v>10</v>
      </c>
      <c r="L1" t="s">
        <v>11</v>
      </c>
      <c r="M1" t="s">
        <v>12</v>
      </c>
      <c r="N1" t="s">
        <v>13</v>
      </c>
      <c r="O1" t="s">
        <v>14</v>
      </c>
      <c r="P1" t="s">
        <v>131</v>
      </c>
      <c r="Q1" t="s">
        <v>132</v>
      </c>
      <c r="R1" t="s">
        <v>133</v>
      </c>
      <c r="S1" s="8" t="s">
        <v>134</v>
      </c>
      <c r="T1" t="s">
        <v>143</v>
      </c>
    </row>
    <row r="2" spans="1:20" x14ac:dyDescent="0.3">
      <c r="A2" t="s">
        <v>15</v>
      </c>
      <c r="B2" t="s">
        <v>16</v>
      </c>
      <c r="C2" t="s">
        <v>17</v>
      </c>
      <c r="D2" s="1">
        <v>45474</v>
      </c>
      <c r="E2" s="3">
        <v>45504</v>
      </c>
      <c r="F2" s="2">
        <v>450000</v>
      </c>
      <c r="G2" s="4">
        <v>120000</v>
      </c>
      <c r="H2">
        <v>3600</v>
      </c>
      <c r="I2">
        <v>180</v>
      </c>
      <c r="J2">
        <v>45</v>
      </c>
      <c r="K2" s="2">
        <v>1800000</v>
      </c>
      <c r="L2">
        <v>300</v>
      </c>
      <c r="M2" t="s">
        <v>18</v>
      </c>
      <c r="N2" t="s">
        <v>19</v>
      </c>
      <c r="O2" t="s">
        <v>20</v>
      </c>
      <c r="P2" s="7">
        <f t="shared" ref="P2:P31" si="0">(J2/I2)*100</f>
        <v>25</v>
      </c>
      <c r="Q2" s="2">
        <f t="shared" ref="Q2:Q31" si="1">(F2/I2)</f>
        <v>2500</v>
      </c>
      <c r="R2">
        <f t="shared" ref="R2:R31" si="2">IF(G2=0,0,(H2/G2)*100)</f>
        <v>3</v>
      </c>
      <c r="S2" t="str">
        <f t="shared" ref="S2:S31" si="3">TEXT(D2, "mmmm")</f>
        <v>July</v>
      </c>
      <c r="T2" t="str">
        <f t="shared" ref="T2:T31" si="4">IF(L2&gt;=300,"High Performer",IF(L2&gt;=100,"Average Performer","Low Performer"))</f>
        <v>High Performer</v>
      </c>
    </row>
    <row r="3" spans="1:20" x14ac:dyDescent="0.3">
      <c r="A3" t="s">
        <v>21</v>
      </c>
      <c r="B3" t="s">
        <v>100</v>
      </c>
      <c r="C3" t="s">
        <v>23</v>
      </c>
      <c r="D3" s="1">
        <v>45478</v>
      </c>
      <c r="E3" s="3">
        <v>45503</v>
      </c>
      <c r="F3" s="2">
        <v>820000</v>
      </c>
      <c r="G3" s="4">
        <v>350000</v>
      </c>
      <c r="H3">
        <v>7000</v>
      </c>
      <c r="I3">
        <v>210</v>
      </c>
      <c r="J3">
        <v>63</v>
      </c>
      <c r="K3" s="2">
        <v>2460000</v>
      </c>
      <c r="L3">
        <v>200</v>
      </c>
      <c r="M3" t="s">
        <v>24</v>
      </c>
      <c r="N3" t="s">
        <v>19</v>
      </c>
      <c r="O3" t="s">
        <v>25</v>
      </c>
      <c r="P3" s="7">
        <f t="shared" si="0"/>
        <v>30</v>
      </c>
      <c r="Q3" s="2">
        <f t="shared" si="1"/>
        <v>3904.7619047619046</v>
      </c>
      <c r="R3" s="2">
        <f t="shared" si="2"/>
        <v>2</v>
      </c>
      <c r="S3" t="str">
        <f t="shared" si="3"/>
        <v>July</v>
      </c>
      <c r="T3" t="str">
        <f t="shared" si="4"/>
        <v>Average Performer</v>
      </c>
    </row>
    <row r="4" spans="1:20" x14ac:dyDescent="0.3">
      <c r="A4" t="s">
        <v>26</v>
      </c>
      <c r="B4" t="s">
        <v>27</v>
      </c>
      <c r="C4" t="s">
        <v>28</v>
      </c>
      <c r="D4" s="1">
        <v>45474</v>
      </c>
      <c r="E4" s="3">
        <v>45504</v>
      </c>
      <c r="F4" s="2">
        <v>300000</v>
      </c>
      <c r="G4" s="4">
        <v>95000</v>
      </c>
      <c r="H4">
        <v>2850</v>
      </c>
      <c r="I4">
        <v>95</v>
      </c>
      <c r="J4">
        <v>28</v>
      </c>
      <c r="K4" s="2">
        <v>560000</v>
      </c>
      <c r="L4">
        <v>87</v>
      </c>
      <c r="M4" t="s">
        <v>18</v>
      </c>
      <c r="N4" t="s">
        <v>19</v>
      </c>
      <c r="O4" t="s">
        <v>20</v>
      </c>
      <c r="P4" s="7">
        <f t="shared" si="0"/>
        <v>29.473684210526311</v>
      </c>
      <c r="Q4" s="2">
        <f t="shared" si="1"/>
        <v>3157.8947368421054</v>
      </c>
      <c r="R4" s="2">
        <f t="shared" si="2"/>
        <v>3</v>
      </c>
      <c r="S4" t="str">
        <f t="shared" si="3"/>
        <v>July</v>
      </c>
      <c r="T4" t="str">
        <f t="shared" si="4"/>
        <v>Low Performer</v>
      </c>
    </row>
    <row r="5" spans="1:20" x14ac:dyDescent="0.3">
      <c r="A5" t="s">
        <v>29</v>
      </c>
      <c r="B5" t="s">
        <v>30</v>
      </c>
      <c r="C5" t="s">
        <v>28</v>
      </c>
      <c r="D5" s="1">
        <v>45483</v>
      </c>
      <c r="F5" s="2">
        <v>0</v>
      </c>
      <c r="G5" s="4">
        <v>210000</v>
      </c>
      <c r="H5">
        <v>6300</v>
      </c>
      <c r="I5">
        <v>315</v>
      </c>
      <c r="J5">
        <v>72</v>
      </c>
      <c r="K5" s="2">
        <v>2880000</v>
      </c>
      <c r="L5">
        <v>0</v>
      </c>
      <c r="M5" t="s">
        <v>24</v>
      </c>
      <c r="N5" t="s">
        <v>19</v>
      </c>
      <c r="O5" t="s">
        <v>32</v>
      </c>
      <c r="P5" s="7">
        <f t="shared" si="0"/>
        <v>22.857142857142858</v>
      </c>
      <c r="Q5" s="2">
        <f t="shared" si="1"/>
        <v>0</v>
      </c>
      <c r="R5" s="2">
        <f t="shared" si="2"/>
        <v>3</v>
      </c>
      <c r="S5" t="str">
        <f t="shared" si="3"/>
        <v>July</v>
      </c>
      <c r="T5" t="str">
        <f t="shared" si="4"/>
        <v>Low Performer</v>
      </c>
    </row>
    <row r="6" spans="1:20" x14ac:dyDescent="0.3">
      <c r="A6" t="s">
        <v>33</v>
      </c>
      <c r="B6" t="s">
        <v>34</v>
      </c>
      <c r="C6" t="s">
        <v>17</v>
      </c>
      <c r="D6" s="1">
        <v>45488</v>
      </c>
      <c r="E6" s="3">
        <v>45504</v>
      </c>
      <c r="F6" s="2">
        <v>195000</v>
      </c>
      <c r="G6" s="4">
        <v>88000</v>
      </c>
      <c r="H6">
        <v>2640</v>
      </c>
      <c r="I6">
        <v>132</v>
      </c>
      <c r="J6">
        <v>33</v>
      </c>
      <c r="K6" s="2">
        <v>990000</v>
      </c>
      <c r="L6">
        <v>408</v>
      </c>
      <c r="M6" t="s">
        <v>35</v>
      </c>
      <c r="N6" t="s">
        <v>19</v>
      </c>
      <c r="O6" t="s">
        <v>36</v>
      </c>
      <c r="P6" s="7">
        <f t="shared" si="0"/>
        <v>25</v>
      </c>
      <c r="Q6" s="2">
        <f t="shared" si="1"/>
        <v>1477.2727272727273</v>
      </c>
      <c r="R6" s="2">
        <f t="shared" si="2"/>
        <v>3</v>
      </c>
      <c r="S6" t="str">
        <f t="shared" si="3"/>
        <v>July</v>
      </c>
      <c r="T6" t="str">
        <f t="shared" si="4"/>
        <v>High Performer</v>
      </c>
    </row>
    <row r="7" spans="1:20" x14ac:dyDescent="0.3">
      <c r="A7" t="s">
        <v>37</v>
      </c>
      <c r="B7" t="s">
        <v>38</v>
      </c>
      <c r="C7" t="s">
        <v>23</v>
      </c>
      <c r="D7" s="1">
        <v>45493</v>
      </c>
      <c r="E7" s="3">
        <v>45504</v>
      </c>
      <c r="F7" s="2">
        <v>620000</v>
      </c>
      <c r="G7" s="4">
        <v>430000</v>
      </c>
      <c r="H7">
        <v>8600</v>
      </c>
      <c r="I7">
        <v>258</v>
      </c>
      <c r="J7">
        <v>33</v>
      </c>
      <c r="K7" s="2">
        <v>1530000</v>
      </c>
      <c r="L7">
        <v>147</v>
      </c>
      <c r="M7" t="s">
        <v>18</v>
      </c>
      <c r="N7" t="s">
        <v>19</v>
      </c>
      <c r="O7" t="s">
        <v>25</v>
      </c>
      <c r="P7" s="7">
        <f t="shared" si="0"/>
        <v>12.790697674418606</v>
      </c>
      <c r="Q7" s="2">
        <f t="shared" si="1"/>
        <v>2403.1007751937987</v>
      </c>
      <c r="R7" s="2">
        <f t="shared" si="2"/>
        <v>2</v>
      </c>
      <c r="S7" t="str">
        <f t="shared" si="3"/>
        <v>July</v>
      </c>
      <c r="T7" t="str">
        <f t="shared" si="4"/>
        <v>Average Performer</v>
      </c>
    </row>
    <row r="8" spans="1:20" x14ac:dyDescent="0.3">
      <c r="A8" t="s">
        <v>39</v>
      </c>
      <c r="B8" t="s">
        <v>101</v>
      </c>
      <c r="C8" t="s">
        <v>41</v>
      </c>
      <c r="D8" s="1">
        <v>45495</v>
      </c>
      <c r="E8" s="3">
        <v>45514</v>
      </c>
      <c r="F8" s="2">
        <v>510000</v>
      </c>
      <c r="G8" s="4">
        <v>780000</v>
      </c>
      <c r="H8">
        <v>11700</v>
      </c>
      <c r="I8">
        <v>351</v>
      </c>
      <c r="J8">
        <v>70</v>
      </c>
      <c r="K8" s="2">
        <v>2100000</v>
      </c>
      <c r="L8">
        <v>312</v>
      </c>
      <c r="M8" t="s">
        <v>42</v>
      </c>
      <c r="N8" t="s">
        <v>19</v>
      </c>
      <c r="O8" t="s">
        <v>32</v>
      </c>
      <c r="P8" s="7">
        <f t="shared" si="0"/>
        <v>19.943019943019944</v>
      </c>
      <c r="Q8" s="2">
        <f t="shared" si="1"/>
        <v>1452.9914529914529</v>
      </c>
      <c r="R8" s="2">
        <f t="shared" si="2"/>
        <v>1.5</v>
      </c>
      <c r="S8" t="str">
        <f t="shared" si="3"/>
        <v>July</v>
      </c>
      <c r="T8" t="str">
        <f t="shared" si="4"/>
        <v>High Performer</v>
      </c>
    </row>
    <row r="9" spans="1:20" x14ac:dyDescent="0.3">
      <c r="A9" t="s">
        <v>43</v>
      </c>
      <c r="B9" t="s">
        <v>44</v>
      </c>
      <c r="C9" t="s">
        <v>45</v>
      </c>
      <c r="D9" s="1">
        <v>45505</v>
      </c>
      <c r="E9" s="3">
        <v>45535</v>
      </c>
      <c r="F9" s="2">
        <v>380000</v>
      </c>
      <c r="G9" s="4">
        <v>165000</v>
      </c>
      <c r="H9">
        <v>4950</v>
      </c>
      <c r="I9">
        <v>247</v>
      </c>
      <c r="J9">
        <v>61</v>
      </c>
      <c r="K9" s="2">
        <v>1830000</v>
      </c>
      <c r="L9">
        <v>382</v>
      </c>
      <c r="M9" t="s">
        <v>18</v>
      </c>
      <c r="N9" t="s">
        <v>19</v>
      </c>
      <c r="O9" t="s">
        <v>20</v>
      </c>
      <c r="P9" s="7">
        <f t="shared" si="0"/>
        <v>24.696356275303643</v>
      </c>
      <c r="Q9" s="2">
        <f t="shared" si="1"/>
        <v>1538.4615384615386</v>
      </c>
      <c r="R9" s="2">
        <f t="shared" si="2"/>
        <v>3</v>
      </c>
      <c r="S9" t="str">
        <f t="shared" si="3"/>
        <v>August</v>
      </c>
      <c r="T9" t="str">
        <f t="shared" si="4"/>
        <v>High Performer</v>
      </c>
    </row>
    <row r="10" spans="1:20" x14ac:dyDescent="0.3">
      <c r="A10" t="s">
        <v>47</v>
      </c>
      <c r="B10" t="s">
        <v>102</v>
      </c>
      <c r="C10" t="s">
        <v>23</v>
      </c>
      <c r="D10" s="1">
        <v>45505</v>
      </c>
      <c r="E10" s="3">
        <v>45535</v>
      </c>
      <c r="F10" s="2">
        <v>910000</v>
      </c>
      <c r="G10" s="4">
        <v>480000</v>
      </c>
      <c r="H10">
        <v>9600</v>
      </c>
      <c r="I10">
        <v>384</v>
      </c>
      <c r="J10">
        <v>96</v>
      </c>
      <c r="K10" s="2">
        <v>3840000</v>
      </c>
      <c r="L10">
        <v>322</v>
      </c>
      <c r="M10" t="s">
        <v>24</v>
      </c>
      <c r="N10" t="s">
        <v>19</v>
      </c>
      <c r="O10" t="s">
        <v>25</v>
      </c>
      <c r="P10" s="7">
        <f t="shared" si="0"/>
        <v>25</v>
      </c>
      <c r="Q10" s="2">
        <f t="shared" si="1"/>
        <v>2369.7916666666665</v>
      </c>
      <c r="R10" s="2">
        <f t="shared" si="2"/>
        <v>2</v>
      </c>
      <c r="S10" t="str">
        <f t="shared" si="3"/>
        <v>August</v>
      </c>
      <c r="T10" t="str">
        <f t="shared" si="4"/>
        <v>High Performer</v>
      </c>
    </row>
    <row r="11" spans="1:20" x14ac:dyDescent="0.3">
      <c r="A11" t="s">
        <v>49</v>
      </c>
      <c r="B11" t="s">
        <v>103</v>
      </c>
      <c r="C11" t="s">
        <v>17</v>
      </c>
      <c r="D11" s="1">
        <v>45509</v>
      </c>
      <c r="E11" s="3">
        <v>45529</v>
      </c>
      <c r="F11" s="2">
        <v>210000</v>
      </c>
      <c r="G11" s="4">
        <v>102000</v>
      </c>
      <c r="H11">
        <v>3060</v>
      </c>
      <c r="I11">
        <v>153</v>
      </c>
      <c r="J11">
        <v>38</v>
      </c>
      <c r="K11" s="2">
        <v>1140000</v>
      </c>
      <c r="L11">
        <v>443</v>
      </c>
      <c r="M11" t="s">
        <v>35</v>
      </c>
      <c r="N11" t="s">
        <v>19</v>
      </c>
      <c r="O11" t="s">
        <v>36</v>
      </c>
      <c r="P11" s="7">
        <f t="shared" si="0"/>
        <v>24.836601307189543</v>
      </c>
      <c r="Q11" s="2">
        <f t="shared" si="1"/>
        <v>1372.5490196078431</v>
      </c>
      <c r="R11" s="2">
        <f t="shared" si="2"/>
        <v>3</v>
      </c>
      <c r="S11" t="str">
        <f t="shared" si="3"/>
        <v>August</v>
      </c>
      <c r="T11" t="str">
        <f t="shared" si="4"/>
        <v>High Performer</v>
      </c>
    </row>
    <row r="12" spans="1:20" x14ac:dyDescent="0.3">
      <c r="A12" t="s">
        <v>51</v>
      </c>
      <c r="B12" t="s">
        <v>104</v>
      </c>
      <c r="C12" t="s">
        <v>28</v>
      </c>
      <c r="D12" s="1">
        <v>45514</v>
      </c>
      <c r="E12" s="3">
        <v>45535</v>
      </c>
      <c r="F12" s="2">
        <v>270000</v>
      </c>
      <c r="G12" s="4">
        <v>113000</v>
      </c>
      <c r="H12">
        <v>3390</v>
      </c>
      <c r="I12">
        <v>169</v>
      </c>
      <c r="J12">
        <v>42</v>
      </c>
      <c r="K12" s="2">
        <v>1260000</v>
      </c>
      <c r="L12">
        <v>367</v>
      </c>
      <c r="M12" t="s">
        <v>18</v>
      </c>
      <c r="N12" t="s">
        <v>19</v>
      </c>
      <c r="O12" t="s">
        <v>110</v>
      </c>
      <c r="P12" s="7">
        <f t="shared" si="0"/>
        <v>24.852071005917161</v>
      </c>
      <c r="Q12" s="2">
        <f t="shared" si="1"/>
        <v>1597.6331360946745</v>
      </c>
      <c r="R12" s="2">
        <f t="shared" si="2"/>
        <v>3</v>
      </c>
      <c r="S12" t="str">
        <f t="shared" si="3"/>
        <v>August</v>
      </c>
      <c r="T12" t="str">
        <f t="shared" si="4"/>
        <v>High Performer</v>
      </c>
    </row>
    <row r="13" spans="1:20" x14ac:dyDescent="0.3">
      <c r="A13" t="s">
        <v>53</v>
      </c>
      <c r="B13" t="s">
        <v>54</v>
      </c>
      <c r="C13" t="s">
        <v>41</v>
      </c>
      <c r="D13" s="1">
        <v>45516</v>
      </c>
      <c r="E13" s="3">
        <v>45535</v>
      </c>
      <c r="F13" s="2">
        <v>430000</v>
      </c>
      <c r="G13" s="4">
        <v>920000</v>
      </c>
      <c r="H13">
        <v>18400</v>
      </c>
      <c r="I13">
        <v>552</v>
      </c>
      <c r="J13">
        <v>83</v>
      </c>
      <c r="K13" s="2">
        <v>2490000</v>
      </c>
      <c r="L13">
        <v>479</v>
      </c>
      <c r="M13" t="s">
        <v>42</v>
      </c>
      <c r="N13" t="s">
        <v>19</v>
      </c>
      <c r="O13" t="s">
        <v>32</v>
      </c>
      <c r="P13" s="7">
        <f t="shared" si="0"/>
        <v>15.036231884057971</v>
      </c>
      <c r="Q13" s="2">
        <f t="shared" si="1"/>
        <v>778.98550724637676</v>
      </c>
      <c r="R13" s="2">
        <f t="shared" si="2"/>
        <v>2</v>
      </c>
      <c r="S13" t="str">
        <f t="shared" si="3"/>
        <v>August</v>
      </c>
      <c r="T13" t="str">
        <f t="shared" si="4"/>
        <v>High Performer</v>
      </c>
    </row>
    <row r="14" spans="1:20" x14ac:dyDescent="0.3">
      <c r="A14" t="s">
        <v>55</v>
      </c>
      <c r="B14" t="s">
        <v>56</v>
      </c>
      <c r="C14" t="s">
        <v>57</v>
      </c>
      <c r="D14" s="1">
        <v>45518</v>
      </c>
      <c r="E14" s="3">
        <v>45532</v>
      </c>
      <c r="F14" s="2">
        <v>600000</v>
      </c>
      <c r="G14" s="4">
        <v>540000</v>
      </c>
      <c r="H14">
        <v>16200</v>
      </c>
      <c r="I14">
        <v>486</v>
      </c>
      <c r="J14">
        <v>97</v>
      </c>
      <c r="K14" s="2">
        <v>3880000</v>
      </c>
      <c r="L14">
        <v>547</v>
      </c>
      <c r="M14" t="s">
        <v>18</v>
      </c>
      <c r="N14" t="s">
        <v>19</v>
      </c>
      <c r="O14" t="s">
        <v>20</v>
      </c>
      <c r="P14" s="7">
        <f t="shared" si="0"/>
        <v>19.958847736625515</v>
      </c>
      <c r="Q14" s="2">
        <f t="shared" si="1"/>
        <v>1234.5679012345679</v>
      </c>
      <c r="R14" s="2">
        <f t="shared" si="2"/>
        <v>3</v>
      </c>
      <c r="S14" t="str">
        <f t="shared" si="3"/>
        <v>August</v>
      </c>
      <c r="T14" t="str">
        <f t="shared" si="4"/>
        <v>High Performer</v>
      </c>
    </row>
    <row r="15" spans="1:20" x14ac:dyDescent="0.3">
      <c r="A15" t="s">
        <v>58</v>
      </c>
      <c r="B15" t="s">
        <v>59</v>
      </c>
      <c r="C15" t="s">
        <v>28</v>
      </c>
      <c r="D15" s="1">
        <v>45522</v>
      </c>
      <c r="E15" s="3">
        <v>45535</v>
      </c>
      <c r="F15" s="2">
        <v>340000</v>
      </c>
      <c r="G15" s="4">
        <v>78000</v>
      </c>
      <c r="H15">
        <v>2340</v>
      </c>
      <c r="I15">
        <v>117</v>
      </c>
      <c r="J15">
        <v>29</v>
      </c>
      <c r="K15" s="2">
        <v>1160000</v>
      </c>
      <c r="L15">
        <v>241</v>
      </c>
      <c r="M15" t="s">
        <v>24</v>
      </c>
      <c r="N15" t="s">
        <v>19</v>
      </c>
      <c r="O15" t="s">
        <v>32</v>
      </c>
      <c r="P15" s="7">
        <f t="shared" si="0"/>
        <v>24.786324786324787</v>
      </c>
      <c r="Q15" s="2">
        <f t="shared" si="1"/>
        <v>2905.9829059829058</v>
      </c>
      <c r="R15" s="2">
        <f t="shared" si="2"/>
        <v>3</v>
      </c>
      <c r="S15" t="str">
        <f t="shared" si="3"/>
        <v>August</v>
      </c>
      <c r="T15" t="str">
        <f t="shared" si="4"/>
        <v>Average Performer</v>
      </c>
    </row>
    <row r="16" spans="1:20" x14ac:dyDescent="0.3">
      <c r="A16" t="s">
        <v>60</v>
      </c>
      <c r="B16" t="s">
        <v>105</v>
      </c>
      <c r="C16" t="s">
        <v>17</v>
      </c>
      <c r="D16" s="1">
        <v>45536</v>
      </c>
      <c r="E16" s="3">
        <v>45565</v>
      </c>
      <c r="F16" s="2">
        <v>225000</v>
      </c>
      <c r="G16" s="4">
        <v>111000</v>
      </c>
      <c r="H16">
        <v>3330</v>
      </c>
      <c r="I16">
        <v>166</v>
      </c>
      <c r="J16">
        <v>41</v>
      </c>
      <c r="K16" s="2">
        <v>1230000</v>
      </c>
      <c r="L16">
        <v>447</v>
      </c>
      <c r="M16" t="s">
        <v>35</v>
      </c>
      <c r="N16" t="s">
        <v>19</v>
      </c>
      <c r="O16" t="s">
        <v>36</v>
      </c>
      <c r="P16" s="7">
        <f t="shared" si="0"/>
        <v>24.69879518072289</v>
      </c>
      <c r="Q16" s="2">
        <f t="shared" si="1"/>
        <v>1355.4216867469879</v>
      </c>
      <c r="R16" s="2">
        <f t="shared" si="2"/>
        <v>3</v>
      </c>
      <c r="S16" t="str">
        <f t="shared" si="3"/>
        <v>September</v>
      </c>
      <c r="T16" t="str">
        <f t="shared" si="4"/>
        <v>High Performer</v>
      </c>
    </row>
    <row r="17" spans="1:20" x14ac:dyDescent="0.3">
      <c r="A17" t="s">
        <v>62</v>
      </c>
      <c r="B17" t="s">
        <v>106</v>
      </c>
      <c r="C17" t="s">
        <v>23</v>
      </c>
      <c r="D17" s="1">
        <v>45536</v>
      </c>
      <c r="E17" s="3">
        <v>45565</v>
      </c>
      <c r="F17" s="2">
        <v>980000</v>
      </c>
      <c r="G17" s="4">
        <v>510000</v>
      </c>
      <c r="H17">
        <v>10200</v>
      </c>
      <c r="I17">
        <v>408</v>
      </c>
      <c r="J17">
        <v>102</v>
      </c>
      <c r="K17" s="2">
        <v>4080000</v>
      </c>
      <c r="L17">
        <v>316</v>
      </c>
      <c r="M17" t="s">
        <v>24</v>
      </c>
      <c r="N17" t="s">
        <v>19</v>
      </c>
      <c r="O17" t="s">
        <v>25</v>
      </c>
      <c r="P17" s="7">
        <f t="shared" si="0"/>
        <v>25</v>
      </c>
      <c r="Q17" s="2">
        <f t="shared" si="1"/>
        <v>2401.9607843137255</v>
      </c>
      <c r="R17" s="2">
        <f t="shared" si="2"/>
        <v>2</v>
      </c>
      <c r="S17" t="str">
        <f t="shared" si="3"/>
        <v>September</v>
      </c>
      <c r="T17" t="str">
        <f t="shared" si="4"/>
        <v>High Performer</v>
      </c>
    </row>
    <row r="18" spans="1:20" x14ac:dyDescent="0.3">
      <c r="A18" t="s">
        <v>64</v>
      </c>
      <c r="B18" t="s">
        <v>65</v>
      </c>
      <c r="C18" t="s">
        <v>28</v>
      </c>
      <c r="D18" s="1">
        <v>45540</v>
      </c>
      <c r="E18" s="3">
        <v>45565</v>
      </c>
      <c r="F18" s="2">
        <v>310000</v>
      </c>
      <c r="G18" s="4">
        <v>102000</v>
      </c>
      <c r="H18">
        <v>3060</v>
      </c>
      <c r="I18">
        <v>153</v>
      </c>
      <c r="J18">
        <v>38</v>
      </c>
      <c r="K18" s="2">
        <v>1520000</v>
      </c>
      <c r="L18">
        <v>390</v>
      </c>
      <c r="M18" t="s">
        <v>18</v>
      </c>
      <c r="N18" t="s">
        <v>19</v>
      </c>
      <c r="O18" t="s">
        <v>20</v>
      </c>
      <c r="P18" s="7">
        <f t="shared" si="0"/>
        <v>24.836601307189543</v>
      </c>
      <c r="Q18" s="2">
        <f t="shared" si="1"/>
        <v>2026.1437908496732</v>
      </c>
      <c r="R18" s="2">
        <f t="shared" si="2"/>
        <v>3</v>
      </c>
      <c r="S18" t="str">
        <f t="shared" si="3"/>
        <v>September</v>
      </c>
      <c r="T18" t="str">
        <f t="shared" si="4"/>
        <v>High Performer</v>
      </c>
    </row>
    <row r="19" spans="1:20" x14ac:dyDescent="0.3">
      <c r="A19" t="s">
        <v>66</v>
      </c>
      <c r="B19" t="s">
        <v>67</v>
      </c>
      <c r="C19" t="s">
        <v>23</v>
      </c>
      <c r="D19" s="1">
        <v>45545</v>
      </c>
      <c r="E19" s="3">
        <v>45565</v>
      </c>
      <c r="F19" s="2">
        <v>530000</v>
      </c>
      <c r="G19" s="4">
        <v>360000</v>
      </c>
      <c r="H19">
        <v>7200</v>
      </c>
      <c r="I19">
        <v>216</v>
      </c>
      <c r="J19">
        <v>54</v>
      </c>
      <c r="K19" s="2">
        <v>2160000</v>
      </c>
      <c r="L19">
        <v>308</v>
      </c>
      <c r="M19" t="s">
        <v>18</v>
      </c>
      <c r="N19" t="s">
        <v>19</v>
      </c>
      <c r="O19" t="s">
        <v>25</v>
      </c>
      <c r="P19" s="7">
        <f t="shared" si="0"/>
        <v>25</v>
      </c>
      <c r="Q19" s="2">
        <f t="shared" si="1"/>
        <v>2453.7037037037039</v>
      </c>
      <c r="R19" s="2">
        <f t="shared" si="2"/>
        <v>2</v>
      </c>
      <c r="S19" t="str">
        <f t="shared" si="3"/>
        <v>September</v>
      </c>
      <c r="T19" t="str">
        <f t="shared" si="4"/>
        <v>High Performer</v>
      </c>
    </row>
    <row r="20" spans="1:20" x14ac:dyDescent="0.3">
      <c r="A20" t="s">
        <v>68</v>
      </c>
      <c r="B20" t="s">
        <v>69</v>
      </c>
      <c r="C20" t="s">
        <v>70</v>
      </c>
      <c r="D20" s="1">
        <v>45547</v>
      </c>
      <c r="E20" s="3">
        <v>45565</v>
      </c>
      <c r="F20" s="2">
        <v>400000</v>
      </c>
      <c r="G20" s="4">
        <v>200000</v>
      </c>
      <c r="H20">
        <v>4000</v>
      </c>
      <c r="I20">
        <v>120</v>
      </c>
      <c r="J20">
        <v>24</v>
      </c>
      <c r="K20" s="2">
        <v>960000</v>
      </c>
      <c r="L20">
        <v>140</v>
      </c>
      <c r="M20" t="s">
        <v>42</v>
      </c>
      <c r="N20" t="s">
        <v>19</v>
      </c>
      <c r="O20" t="s">
        <v>36</v>
      </c>
      <c r="P20" s="7">
        <f t="shared" si="0"/>
        <v>20</v>
      </c>
      <c r="Q20" s="2">
        <f t="shared" si="1"/>
        <v>3333.3333333333335</v>
      </c>
      <c r="R20" s="2">
        <f t="shared" si="2"/>
        <v>2</v>
      </c>
      <c r="S20" t="str">
        <f t="shared" si="3"/>
        <v>September</v>
      </c>
      <c r="T20" t="str">
        <f t="shared" si="4"/>
        <v>Average Performer</v>
      </c>
    </row>
    <row r="21" spans="1:20" x14ac:dyDescent="0.3">
      <c r="A21" t="s">
        <v>71</v>
      </c>
      <c r="B21" t="s">
        <v>107</v>
      </c>
      <c r="C21" t="s">
        <v>17</v>
      </c>
      <c r="D21" s="1">
        <v>45560</v>
      </c>
      <c r="E21" s="3">
        <v>45565</v>
      </c>
      <c r="F21" s="2">
        <v>180000</v>
      </c>
      <c r="G21" s="4">
        <v>95000</v>
      </c>
      <c r="H21">
        <v>2850</v>
      </c>
      <c r="I21">
        <v>142</v>
      </c>
      <c r="J21">
        <v>36</v>
      </c>
      <c r="K21" s="2">
        <v>1440000</v>
      </c>
      <c r="L21">
        <v>700</v>
      </c>
      <c r="M21" t="s">
        <v>18</v>
      </c>
      <c r="N21" t="s">
        <v>19</v>
      </c>
      <c r="O21" t="s">
        <v>20</v>
      </c>
      <c r="P21" s="7">
        <f t="shared" si="0"/>
        <v>25.352112676056336</v>
      </c>
      <c r="Q21" s="2">
        <f t="shared" si="1"/>
        <v>1267.605633802817</v>
      </c>
      <c r="R21" s="2">
        <f t="shared" si="2"/>
        <v>3</v>
      </c>
      <c r="S21" t="str">
        <f t="shared" si="3"/>
        <v>September</v>
      </c>
      <c r="T21" t="str">
        <f t="shared" si="4"/>
        <v>High Performer</v>
      </c>
    </row>
    <row r="22" spans="1:20" x14ac:dyDescent="0.3">
      <c r="A22" t="s">
        <v>73</v>
      </c>
      <c r="B22" t="s">
        <v>108</v>
      </c>
      <c r="C22" t="s">
        <v>75</v>
      </c>
      <c r="D22" s="1">
        <v>45481</v>
      </c>
      <c r="E22" s="3">
        <v>45565</v>
      </c>
      <c r="F22" s="2">
        <v>750000</v>
      </c>
      <c r="G22" s="4">
        <v>1200000</v>
      </c>
      <c r="H22">
        <v>24000</v>
      </c>
      <c r="I22">
        <v>720</v>
      </c>
      <c r="J22">
        <v>144</v>
      </c>
      <c r="K22" s="2">
        <v>5760000</v>
      </c>
      <c r="L22">
        <v>668</v>
      </c>
      <c r="M22" t="s">
        <v>42</v>
      </c>
      <c r="N22" t="s">
        <v>19</v>
      </c>
      <c r="O22" t="s">
        <v>32</v>
      </c>
      <c r="P22" s="7">
        <f t="shared" si="0"/>
        <v>20</v>
      </c>
      <c r="Q22" s="2">
        <f t="shared" si="1"/>
        <v>1041.6666666666667</v>
      </c>
      <c r="R22" s="2">
        <f t="shared" si="2"/>
        <v>2</v>
      </c>
      <c r="S22" t="str">
        <f t="shared" si="3"/>
        <v>July</v>
      </c>
      <c r="T22" t="str">
        <f t="shared" si="4"/>
        <v>High Performer</v>
      </c>
    </row>
    <row r="23" spans="1:20" x14ac:dyDescent="0.3">
      <c r="A23" t="s">
        <v>76</v>
      </c>
      <c r="B23" t="s">
        <v>77</v>
      </c>
      <c r="C23" t="s">
        <v>78</v>
      </c>
      <c r="D23" s="1">
        <v>45524</v>
      </c>
      <c r="E23" s="3">
        <v>45535</v>
      </c>
      <c r="F23" s="2">
        <v>0</v>
      </c>
      <c r="G23" s="4">
        <v>50000</v>
      </c>
      <c r="H23">
        <v>1500</v>
      </c>
      <c r="I23">
        <v>75</v>
      </c>
      <c r="J23">
        <v>18</v>
      </c>
      <c r="K23" s="2">
        <v>720000</v>
      </c>
      <c r="L23">
        <v>0</v>
      </c>
      <c r="M23" t="s">
        <v>18</v>
      </c>
      <c r="N23" t="s">
        <v>19</v>
      </c>
      <c r="O23" t="s">
        <v>20</v>
      </c>
      <c r="P23" s="7">
        <f t="shared" si="0"/>
        <v>24</v>
      </c>
      <c r="Q23" s="2">
        <f t="shared" si="1"/>
        <v>0</v>
      </c>
      <c r="R23" s="2">
        <f t="shared" si="2"/>
        <v>3</v>
      </c>
      <c r="S23" t="str">
        <f t="shared" si="3"/>
        <v>August</v>
      </c>
      <c r="T23" t="str">
        <f t="shared" si="4"/>
        <v>Low Performer</v>
      </c>
    </row>
    <row r="24" spans="1:20" x14ac:dyDescent="0.3">
      <c r="A24" t="s">
        <v>80</v>
      </c>
      <c r="B24" t="s">
        <v>81</v>
      </c>
      <c r="C24" t="s">
        <v>70</v>
      </c>
      <c r="D24" s="1">
        <v>45536</v>
      </c>
      <c r="E24" s="3">
        <v>45550</v>
      </c>
      <c r="F24" s="2">
        <v>280000</v>
      </c>
      <c r="G24" s="4">
        <v>90000</v>
      </c>
      <c r="H24">
        <v>1800</v>
      </c>
      <c r="I24">
        <v>54</v>
      </c>
      <c r="J24">
        <v>11</v>
      </c>
      <c r="K24" s="2">
        <v>440000</v>
      </c>
      <c r="L24">
        <v>57</v>
      </c>
      <c r="M24" t="s">
        <v>35</v>
      </c>
      <c r="N24" t="s">
        <v>19</v>
      </c>
      <c r="O24" t="s">
        <v>36</v>
      </c>
      <c r="P24" s="7">
        <f t="shared" si="0"/>
        <v>20.37037037037037</v>
      </c>
      <c r="Q24" s="2">
        <f t="shared" si="1"/>
        <v>5185.1851851851852</v>
      </c>
      <c r="R24" s="2">
        <f t="shared" si="2"/>
        <v>2</v>
      </c>
      <c r="S24" t="str">
        <f t="shared" si="3"/>
        <v>September</v>
      </c>
      <c r="T24" t="str">
        <f t="shared" si="4"/>
        <v>Low Performer</v>
      </c>
    </row>
    <row r="25" spans="1:20" x14ac:dyDescent="0.3">
      <c r="A25" t="s">
        <v>82</v>
      </c>
      <c r="B25" t="s">
        <v>83</v>
      </c>
      <c r="C25" t="s">
        <v>84</v>
      </c>
      <c r="D25" s="1">
        <v>45474</v>
      </c>
      <c r="E25" s="3">
        <v>45565</v>
      </c>
      <c r="F25" s="2">
        <v>0</v>
      </c>
      <c r="G25" s="4">
        <v>320000</v>
      </c>
      <c r="H25">
        <v>9600</v>
      </c>
      <c r="I25">
        <v>480</v>
      </c>
      <c r="J25">
        <v>120</v>
      </c>
      <c r="K25" s="2">
        <v>4800000</v>
      </c>
      <c r="L25">
        <v>0</v>
      </c>
      <c r="M25" t="s">
        <v>42</v>
      </c>
      <c r="N25" t="s">
        <v>19</v>
      </c>
      <c r="O25" t="s">
        <v>32</v>
      </c>
      <c r="P25" s="7">
        <f t="shared" si="0"/>
        <v>25</v>
      </c>
      <c r="Q25" s="2">
        <f t="shared" si="1"/>
        <v>0</v>
      </c>
      <c r="R25" s="2">
        <f t="shared" si="2"/>
        <v>3</v>
      </c>
      <c r="S25" t="str">
        <f t="shared" si="3"/>
        <v>July</v>
      </c>
      <c r="T25" t="str">
        <f t="shared" si="4"/>
        <v>Low Performer</v>
      </c>
    </row>
    <row r="26" spans="1:20" x14ac:dyDescent="0.3">
      <c r="A26" t="s">
        <v>85</v>
      </c>
      <c r="B26" t="s">
        <v>86</v>
      </c>
      <c r="C26" t="s">
        <v>28</v>
      </c>
      <c r="D26" s="1">
        <v>45505</v>
      </c>
      <c r="E26" s="3">
        <v>45535</v>
      </c>
      <c r="F26" s="2">
        <v>190000</v>
      </c>
      <c r="G26" s="4">
        <v>145000</v>
      </c>
      <c r="H26">
        <v>4350</v>
      </c>
      <c r="I26">
        <v>217</v>
      </c>
      <c r="J26">
        <v>43</v>
      </c>
      <c r="K26" s="2">
        <v>1720000</v>
      </c>
      <c r="L26">
        <v>805</v>
      </c>
      <c r="M26" t="s">
        <v>18</v>
      </c>
      <c r="N26" t="s">
        <v>19</v>
      </c>
      <c r="O26" t="s">
        <v>20</v>
      </c>
      <c r="P26" s="7">
        <f t="shared" si="0"/>
        <v>19.815668202764979</v>
      </c>
      <c r="Q26" s="2">
        <f t="shared" si="1"/>
        <v>875.57603686635946</v>
      </c>
      <c r="R26" s="2">
        <f t="shared" si="2"/>
        <v>3</v>
      </c>
      <c r="S26" t="str">
        <f t="shared" si="3"/>
        <v>August</v>
      </c>
      <c r="T26" t="str">
        <f t="shared" si="4"/>
        <v>High Performer</v>
      </c>
    </row>
    <row r="27" spans="1:20" x14ac:dyDescent="0.3">
      <c r="A27" t="s">
        <v>87</v>
      </c>
      <c r="B27" t="s">
        <v>109</v>
      </c>
      <c r="C27" t="s">
        <v>17</v>
      </c>
      <c r="D27" s="1">
        <v>45553</v>
      </c>
      <c r="E27" s="3">
        <v>45565</v>
      </c>
      <c r="F27" s="2">
        <v>85000</v>
      </c>
      <c r="G27" s="4">
        <v>22000</v>
      </c>
      <c r="H27">
        <v>660</v>
      </c>
      <c r="I27">
        <v>99</v>
      </c>
      <c r="J27">
        <v>33</v>
      </c>
      <c r="K27" s="2">
        <v>1980000</v>
      </c>
      <c r="L27">
        <v>0</v>
      </c>
      <c r="M27" t="s">
        <v>24</v>
      </c>
      <c r="N27" t="s">
        <v>19</v>
      </c>
      <c r="O27" t="s">
        <v>25</v>
      </c>
      <c r="P27" s="7">
        <f t="shared" si="0"/>
        <v>33.333333333333329</v>
      </c>
      <c r="Q27" s="2">
        <f t="shared" si="1"/>
        <v>858.58585858585855</v>
      </c>
      <c r="R27" s="2">
        <f t="shared" si="2"/>
        <v>3</v>
      </c>
      <c r="S27" t="str">
        <f t="shared" si="3"/>
        <v>September</v>
      </c>
      <c r="T27" t="str">
        <f t="shared" si="4"/>
        <v>Low Performer</v>
      </c>
    </row>
    <row r="28" spans="1:20" x14ac:dyDescent="0.3">
      <c r="A28" t="s">
        <v>89</v>
      </c>
      <c r="B28" t="s">
        <v>90</v>
      </c>
      <c r="C28" t="s">
        <v>23</v>
      </c>
      <c r="D28" s="1">
        <v>45488</v>
      </c>
      <c r="E28" s="3">
        <v>45519</v>
      </c>
      <c r="F28" s="2">
        <v>670000</v>
      </c>
      <c r="G28" s="4">
        <v>890000</v>
      </c>
      <c r="H28">
        <v>17800</v>
      </c>
      <c r="I28">
        <v>534</v>
      </c>
      <c r="J28">
        <v>89</v>
      </c>
      <c r="K28" s="2">
        <v>3560000</v>
      </c>
      <c r="L28">
        <v>431</v>
      </c>
      <c r="M28" t="s">
        <v>42</v>
      </c>
      <c r="N28" t="s">
        <v>19</v>
      </c>
      <c r="O28" t="s">
        <v>32</v>
      </c>
      <c r="P28" s="7">
        <f t="shared" si="0"/>
        <v>16.666666666666664</v>
      </c>
      <c r="Q28" s="2">
        <f t="shared" si="1"/>
        <v>1254.681647940075</v>
      </c>
      <c r="R28" s="2">
        <f t="shared" si="2"/>
        <v>2</v>
      </c>
      <c r="S28" t="str">
        <f t="shared" si="3"/>
        <v>July</v>
      </c>
      <c r="T28" t="str">
        <f t="shared" si="4"/>
        <v>High Performer</v>
      </c>
    </row>
    <row r="29" spans="1:20" x14ac:dyDescent="0.3">
      <c r="A29" t="s">
        <v>91</v>
      </c>
      <c r="B29" t="s">
        <v>92</v>
      </c>
      <c r="C29" t="s">
        <v>75</v>
      </c>
      <c r="D29" s="1">
        <v>45540</v>
      </c>
      <c r="E29" s="3">
        <v>45565</v>
      </c>
      <c r="F29" s="2">
        <v>490000</v>
      </c>
      <c r="G29" s="4">
        <v>620000</v>
      </c>
      <c r="H29">
        <v>12400</v>
      </c>
      <c r="I29">
        <v>310</v>
      </c>
      <c r="J29">
        <v>62</v>
      </c>
      <c r="K29" s="2">
        <v>2480000</v>
      </c>
      <c r="L29">
        <v>406</v>
      </c>
      <c r="M29" t="s">
        <v>24</v>
      </c>
      <c r="N29" t="s">
        <v>19</v>
      </c>
      <c r="O29" t="s">
        <v>25</v>
      </c>
      <c r="P29" s="7">
        <f t="shared" si="0"/>
        <v>20</v>
      </c>
      <c r="Q29" s="2">
        <f t="shared" si="1"/>
        <v>1580.6451612903227</v>
      </c>
      <c r="R29" s="2">
        <f t="shared" si="2"/>
        <v>2</v>
      </c>
      <c r="S29" t="str">
        <f t="shared" si="3"/>
        <v>September</v>
      </c>
      <c r="T29" t="str">
        <f t="shared" si="4"/>
        <v>High Performer</v>
      </c>
    </row>
    <row r="30" spans="1:20" x14ac:dyDescent="0.3">
      <c r="A30" t="s">
        <v>93</v>
      </c>
      <c r="B30" t="s">
        <v>94</v>
      </c>
      <c r="C30" t="s">
        <v>28</v>
      </c>
      <c r="D30" s="1">
        <v>45563</v>
      </c>
      <c r="E30" s="3">
        <v>45565</v>
      </c>
      <c r="F30" s="2">
        <v>120000</v>
      </c>
      <c r="G30" s="4">
        <v>40000</v>
      </c>
      <c r="H30">
        <v>1200</v>
      </c>
      <c r="I30">
        <v>60</v>
      </c>
      <c r="J30">
        <v>12</v>
      </c>
      <c r="K30">
        <v>0</v>
      </c>
      <c r="L30">
        <v>0</v>
      </c>
      <c r="M30" t="s">
        <v>18</v>
      </c>
      <c r="N30" t="s">
        <v>96</v>
      </c>
      <c r="O30" t="s">
        <v>110</v>
      </c>
      <c r="P30" s="7">
        <f t="shared" si="0"/>
        <v>20</v>
      </c>
      <c r="Q30" s="2">
        <f t="shared" si="1"/>
        <v>2000</v>
      </c>
      <c r="R30" s="2">
        <f t="shared" si="2"/>
        <v>3</v>
      </c>
      <c r="S30" t="str">
        <f t="shared" si="3"/>
        <v>September</v>
      </c>
      <c r="T30" t="str">
        <f t="shared" si="4"/>
        <v>Low Performer</v>
      </c>
    </row>
    <row r="31" spans="1:20" x14ac:dyDescent="0.3">
      <c r="A31" t="s">
        <v>97</v>
      </c>
      <c r="B31" t="s">
        <v>98</v>
      </c>
      <c r="C31" t="s">
        <v>99</v>
      </c>
      <c r="D31" s="1">
        <v>45474</v>
      </c>
      <c r="E31" s="3">
        <v>45565</v>
      </c>
      <c r="F31" s="2">
        <v>250000</v>
      </c>
      <c r="G31" s="4">
        <v>0</v>
      </c>
      <c r="H31">
        <v>3000</v>
      </c>
      <c r="I31">
        <v>600</v>
      </c>
      <c r="J31">
        <v>200</v>
      </c>
      <c r="K31" s="2">
        <v>8000000</v>
      </c>
      <c r="L31">
        <v>3100</v>
      </c>
      <c r="M31" t="s">
        <v>42</v>
      </c>
      <c r="N31" t="s">
        <v>19</v>
      </c>
      <c r="O31" t="s">
        <v>20</v>
      </c>
      <c r="P31" s="7">
        <f t="shared" si="0"/>
        <v>33.333333333333329</v>
      </c>
      <c r="Q31" s="2">
        <f t="shared" si="1"/>
        <v>416.66666666666669</v>
      </c>
      <c r="R31" s="2">
        <f t="shared" si="2"/>
        <v>0</v>
      </c>
      <c r="S31" t="str">
        <f t="shared" si="3"/>
        <v>July</v>
      </c>
      <c r="T31" t="str">
        <f t="shared" si="4"/>
        <v>High Performer</v>
      </c>
    </row>
    <row r="32" spans="1:20" x14ac:dyDescent="0.3">
      <c r="D32" s="1"/>
      <c r="E32"/>
      <c r="F32" s="2">
        <f>SUM(F2:F21)</f>
        <v>8660000</v>
      </c>
      <c r="K32" s="2">
        <f>SUM(K2:K31)</f>
        <v>68770000</v>
      </c>
      <c r="L32">
        <f>((K2-H2)/H2)*100</f>
        <v>49900</v>
      </c>
      <c r="Q32" s="2"/>
    </row>
    <row r="33" spans="7:7" x14ac:dyDescent="0.3">
      <c r="G33"/>
    </row>
  </sheetData>
  <conditionalFormatting sqref="T1:T31">
    <cfRule type="cellIs" dxfId="2" priority="1" operator="equal">
      <formula>"Low Performer"</formula>
    </cfRule>
    <cfRule type="cellIs" dxfId="1" priority="2" operator="equal">
      <formula>"Average Performer"</formula>
    </cfRule>
    <cfRule type="cellIs" dxfId="0" priority="3" operator="equal">
      <formula>"High Performer"</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F45D-2A76-4CCC-B431-47597FC6317D}">
  <dimension ref="A1:E22"/>
  <sheetViews>
    <sheetView workbookViewId="0">
      <selection activeCell="D25" sqref="D25"/>
    </sheetView>
  </sheetViews>
  <sheetFormatPr defaultRowHeight="14.4" x14ac:dyDescent="0.3"/>
  <cols>
    <col min="1" max="1" width="19" customWidth="1"/>
    <col min="2" max="2" width="23.88671875" customWidth="1"/>
    <col min="4" max="4" width="24.33203125" customWidth="1"/>
    <col min="5" max="5" width="22.77734375" customWidth="1"/>
  </cols>
  <sheetData>
    <row r="1" spans="1:5" ht="15.6" thickTop="1" thickBot="1" x14ac:dyDescent="0.35">
      <c r="A1" s="10" t="s">
        <v>111</v>
      </c>
      <c r="B1" s="11"/>
      <c r="C1" s="12"/>
      <c r="D1" s="10" t="s">
        <v>116</v>
      </c>
      <c r="E1" s="12"/>
    </row>
    <row r="2" spans="1:5" ht="15" thickTop="1" x14ac:dyDescent="0.3">
      <c r="A2" s="13">
        <f>SUM('Cleaned Data'!F2:F31)</f>
        <v>11495000</v>
      </c>
      <c r="B2" s="14"/>
      <c r="C2" s="12"/>
      <c r="D2" s="14">
        <f>SUM('Cleaned Data'!I2:I31)</f>
        <v>8003</v>
      </c>
      <c r="E2" s="12"/>
    </row>
    <row r="3" spans="1:5" x14ac:dyDescent="0.3">
      <c r="A3" s="12"/>
      <c r="B3" s="12"/>
      <c r="C3" s="12"/>
      <c r="D3" s="12"/>
      <c r="E3" s="12"/>
    </row>
    <row r="4" spans="1:5" x14ac:dyDescent="0.3">
      <c r="A4" s="10" t="s">
        <v>112</v>
      </c>
      <c r="B4" s="12"/>
      <c r="C4" s="12"/>
      <c r="D4" s="10" t="s">
        <v>117</v>
      </c>
      <c r="E4" s="12"/>
    </row>
    <row r="5" spans="1:5" x14ac:dyDescent="0.3">
      <c r="A5" s="14">
        <f>SUM('Cleaned Data'!K2:K31)</f>
        <v>68770000</v>
      </c>
      <c r="B5" s="12"/>
      <c r="C5" s="12"/>
      <c r="D5" s="14">
        <f>SUM('Cleaned Data'!J2:J31)</f>
        <v>1817</v>
      </c>
      <c r="E5" s="12"/>
    </row>
    <row r="6" spans="1:5" x14ac:dyDescent="0.3">
      <c r="A6" s="12"/>
      <c r="B6" s="12"/>
      <c r="C6" s="12"/>
      <c r="D6" s="12"/>
      <c r="E6" s="12"/>
    </row>
    <row r="7" spans="1:5" x14ac:dyDescent="0.3">
      <c r="A7" s="10" t="s">
        <v>113</v>
      </c>
      <c r="B7" s="12"/>
      <c r="C7" s="12"/>
      <c r="D7" s="10" t="s">
        <v>118</v>
      </c>
      <c r="E7" s="12"/>
    </row>
    <row r="8" spans="1:5" x14ac:dyDescent="0.3">
      <c r="A8" s="12">
        <f>AVERAGE('Cleaned Data'!L2:L31)</f>
        <v>400.1</v>
      </c>
      <c r="B8" s="12"/>
      <c r="C8" s="12"/>
      <c r="D8" s="15">
        <f>SUM('Cleaned Data'!J2:J31)/SUM('Cleaned Data'!I2:I31)*100</f>
        <v>22.70398600524803</v>
      </c>
      <c r="E8" s="12"/>
    </row>
    <row r="9" spans="1:5" x14ac:dyDescent="0.3">
      <c r="A9" s="12"/>
      <c r="B9" s="12"/>
      <c r="C9" s="12"/>
      <c r="D9" s="12"/>
      <c r="E9" s="12"/>
    </row>
    <row r="10" spans="1:5" x14ac:dyDescent="0.3">
      <c r="A10" s="10" t="s">
        <v>114</v>
      </c>
      <c r="B10" s="12"/>
      <c r="C10" s="12"/>
      <c r="D10" s="12"/>
      <c r="E10" s="12"/>
    </row>
    <row r="11" spans="1:5" x14ac:dyDescent="0.3">
      <c r="A11" s="12">
        <f>MAX('Cleaned Data'!L2:L29)</f>
        <v>805</v>
      </c>
      <c r="B11" s="12"/>
      <c r="C11" s="12"/>
      <c r="D11" s="10" t="s">
        <v>2</v>
      </c>
      <c r="E11" s="10" t="s">
        <v>112</v>
      </c>
    </row>
    <row r="12" spans="1:5" x14ac:dyDescent="0.3">
      <c r="A12" s="12"/>
      <c r="B12" s="12"/>
      <c r="C12" s="12"/>
      <c r="D12" s="12" t="s">
        <v>17</v>
      </c>
      <c r="E12" s="14">
        <f>SUMIF('Cleaned Data'!C:C,"Email",'Cleaned Data'!K:K)</f>
        <v>8580000</v>
      </c>
    </row>
    <row r="13" spans="1:5" x14ac:dyDescent="0.3">
      <c r="A13" s="10" t="s">
        <v>115</v>
      </c>
      <c r="B13" s="12"/>
      <c r="C13" s="12"/>
      <c r="D13" s="12" t="s">
        <v>121</v>
      </c>
      <c r="E13" s="14">
        <f>SUMIF('Cleaned Data'!C:C,"Paid Ads",'Cleaned Data'!K:K)</f>
        <v>17630000</v>
      </c>
    </row>
    <row r="14" spans="1:5" x14ac:dyDescent="0.3">
      <c r="A14" s="12">
        <f>MIN('Cleaned Data'!L2:L31)</f>
        <v>0</v>
      </c>
      <c r="B14" s="12"/>
      <c r="C14" s="12"/>
      <c r="D14" s="12" t="s">
        <v>28</v>
      </c>
      <c r="E14" s="14">
        <f>SUMIF('Cleaned Data'!C:C, "Social Media", 'Cleaned Data'!K:K)</f>
        <v>9100000</v>
      </c>
    </row>
    <row r="15" spans="1:5" x14ac:dyDescent="0.3">
      <c r="A15" s="12"/>
      <c r="B15" s="12"/>
      <c r="C15" s="12"/>
      <c r="D15" s="12" t="s">
        <v>75</v>
      </c>
      <c r="E15" s="14">
        <f>SUMIF('Cleaned Data'!C:C,"Display",'Cleaned Data'!K:K)</f>
        <v>8240000</v>
      </c>
    </row>
    <row r="16" spans="1:5" x14ac:dyDescent="0.3">
      <c r="A16" s="12"/>
      <c r="B16" s="12"/>
      <c r="C16" s="12"/>
      <c r="D16" s="12" t="s">
        <v>99</v>
      </c>
      <c r="E16" s="14">
        <f>SUMIF('Cleaned Data'!C:C, "Referral", 'Cleaned Data'!K:K)</f>
        <v>8000000</v>
      </c>
    </row>
    <row r="17" spans="1:5" x14ac:dyDescent="0.3">
      <c r="A17" s="12"/>
      <c r="B17" s="12"/>
      <c r="C17" s="12"/>
      <c r="D17" s="12" t="s">
        <v>84</v>
      </c>
      <c r="E17" s="14">
        <f>SUMIF('Cleaned Data'!C:C,"Organic",'Cleaned Data'!K:K)</f>
        <v>4800000</v>
      </c>
    </row>
    <row r="18" spans="1:5" x14ac:dyDescent="0.3">
      <c r="A18" s="12"/>
      <c r="B18" s="12"/>
      <c r="C18" s="12"/>
      <c r="D18" s="12" t="s">
        <v>41</v>
      </c>
      <c r="E18" s="14">
        <f>SUMIF('Cleaned Data'!C:C,"Video Ads",'Cleaned Data'!K:K)</f>
        <v>4590000</v>
      </c>
    </row>
    <row r="19" spans="1:5" x14ac:dyDescent="0.3">
      <c r="A19" s="12"/>
      <c r="B19" s="12"/>
      <c r="C19" s="12"/>
      <c r="D19" s="12" t="s">
        <v>57</v>
      </c>
      <c r="E19" s="14">
        <f>SUMIF('Cleaned Data'!C:C,"Influencer",'Cleaned Data'!K:K)</f>
        <v>3880000</v>
      </c>
    </row>
    <row r="20" spans="1:5" x14ac:dyDescent="0.3">
      <c r="A20" s="12"/>
      <c r="B20" s="12"/>
      <c r="C20" s="12"/>
      <c r="D20" s="12" t="s">
        <v>45</v>
      </c>
      <c r="E20" s="14">
        <f>SUMIF('Cleaned Data'!C:C,"Affiliate",'Cleaned Data'!K:K)</f>
        <v>1830000</v>
      </c>
    </row>
    <row r="21" spans="1:5" x14ac:dyDescent="0.3">
      <c r="A21" s="12"/>
      <c r="B21" s="12"/>
      <c r="C21" s="12"/>
      <c r="D21" s="12" t="s">
        <v>70</v>
      </c>
      <c r="E21" s="14">
        <f>SUMIF('Cleaned Data'!C:C,"Audio ads",'Cleaned Data'!K:K)</f>
        <v>1400000</v>
      </c>
    </row>
    <row r="22" spans="1:5" x14ac:dyDescent="0.3">
      <c r="A22" s="12"/>
      <c r="B22" s="12"/>
      <c r="C22" s="12"/>
      <c r="D22" s="12" t="s">
        <v>78</v>
      </c>
      <c r="E22" s="14">
        <f>SUMIF('Cleaned Data'!C:C,"Messaging",'Cleaned Data'!K:K)</f>
        <v>720000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6677-D382-4CEA-AFBD-213BC0D09378}">
  <dimension ref="A1:E20"/>
  <sheetViews>
    <sheetView workbookViewId="0">
      <selection activeCell="C20" sqref="C20"/>
    </sheetView>
  </sheetViews>
  <sheetFormatPr defaultRowHeight="14.4" x14ac:dyDescent="0.3"/>
  <cols>
    <col min="1" max="1" width="27.88671875" customWidth="1"/>
    <col min="2" max="2" width="27.44140625" customWidth="1"/>
    <col min="3" max="3" width="29.44140625" customWidth="1"/>
    <col min="4" max="4" width="34.109375" customWidth="1"/>
    <col min="5" max="5" width="34.33203125" customWidth="1"/>
  </cols>
  <sheetData>
    <row r="1" spans="1:5" ht="16.2" thickBot="1" x14ac:dyDescent="0.35">
      <c r="A1" s="24" t="s">
        <v>201</v>
      </c>
    </row>
    <row r="2" spans="1:5" ht="14.4" customHeight="1" thickBot="1" x14ac:dyDescent="0.35">
      <c r="A2" s="23" t="s">
        <v>122</v>
      </c>
      <c r="B2" s="22" t="s">
        <v>123</v>
      </c>
      <c r="C2" s="22" t="s">
        <v>124</v>
      </c>
      <c r="D2" s="22" t="s">
        <v>200</v>
      </c>
      <c r="E2" s="22" t="s">
        <v>199</v>
      </c>
    </row>
    <row r="3" spans="1:5" ht="14.4" customHeight="1" thickBot="1" x14ac:dyDescent="0.35">
      <c r="A3" s="21" t="s">
        <v>0</v>
      </c>
      <c r="B3" s="20" t="s">
        <v>125</v>
      </c>
      <c r="C3" s="20" t="s">
        <v>126</v>
      </c>
      <c r="D3" s="20" t="s">
        <v>198</v>
      </c>
      <c r="E3" s="20" t="s">
        <v>197</v>
      </c>
    </row>
    <row r="4" spans="1:5" ht="14.4" customHeight="1" thickBot="1" x14ac:dyDescent="0.35">
      <c r="A4" s="21" t="s">
        <v>1</v>
      </c>
      <c r="B4" s="20" t="s">
        <v>125</v>
      </c>
      <c r="C4" s="20" t="s">
        <v>196</v>
      </c>
      <c r="D4" s="20" t="s">
        <v>195</v>
      </c>
      <c r="E4" s="20" t="s">
        <v>171</v>
      </c>
    </row>
    <row r="5" spans="1:5" ht="14.4" customHeight="1" thickBot="1" x14ac:dyDescent="0.35">
      <c r="A5" s="21" t="s">
        <v>2</v>
      </c>
      <c r="B5" s="20" t="s">
        <v>125</v>
      </c>
      <c r="C5" s="20" t="s">
        <v>194</v>
      </c>
      <c r="D5" s="20" t="s">
        <v>193</v>
      </c>
      <c r="E5" s="20" t="s">
        <v>192</v>
      </c>
    </row>
    <row r="6" spans="1:5" ht="14.4" customHeight="1" thickBot="1" x14ac:dyDescent="0.35">
      <c r="A6" s="21" t="s">
        <v>3</v>
      </c>
      <c r="B6" s="20" t="s">
        <v>127</v>
      </c>
      <c r="C6" s="20" t="s">
        <v>191</v>
      </c>
      <c r="D6" s="20" t="s">
        <v>128</v>
      </c>
      <c r="E6" s="20" t="s">
        <v>190</v>
      </c>
    </row>
    <row r="7" spans="1:5" ht="14.4" customHeight="1" thickBot="1" x14ac:dyDescent="0.35">
      <c r="A7" s="21" t="s">
        <v>4</v>
      </c>
      <c r="B7" s="20" t="s">
        <v>127</v>
      </c>
      <c r="C7" s="20" t="s">
        <v>189</v>
      </c>
      <c r="D7" s="20" t="s">
        <v>128</v>
      </c>
      <c r="E7" s="20" t="s">
        <v>188</v>
      </c>
    </row>
    <row r="8" spans="1:5" ht="14.4" customHeight="1" thickBot="1" x14ac:dyDescent="0.35">
      <c r="A8" s="21" t="s">
        <v>5</v>
      </c>
      <c r="B8" s="20" t="s">
        <v>129</v>
      </c>
      <c r="C8" s="20" t="s">
        <v>187</v>
      </c>
      <c r="D8" s="20" t="s">
        <v>178</v>
      </c>
      <c r="E8" s="20" t="s">
        <v>186</v>
      </c>
    </row>
    <row r="9" spans="1:5" ht="14.4" customHeight="1" thickBot="1" x14ac:dyDescent="0.35">
      <c r="A9" s="21" t="s">
        <v>6</v>
      </c>
      <c r="B9" s="20" t="s">
        <v>129</v>
      </c>
      <c r="C9" s="20" t="s">
        <v>185</v>
      </c>
      <c r="D9" s="20" t="s">
        <v>181</v>
      </c>
      <c r="E9" s="20" t="s">
        <v>180</v>
      </c>
    </row>
    <row r="10" spans="1:5" ht="14.4" customHeight="1" thickBot="1" x14ac:dyDescent="0.35">
      <c r="A10" s="21" t="s">
        <v>7</v>
      </c>
      <c r="B10" s="20" t="s">
        <v>129</v>
      </c>
      <c r="C10" s="20" t="s">
        <v>184</v>
      </c>
      <c r="D10" s="20" t="s">
        <v>181</v>
      </c>
      <c r="E10" s="20" t="s">
        <v>180</v>
      </c>
    </row>
    <row r="11" spans="1:5" ht="14.4" customHeight="1" thickBot="1" x14ac:dyDescent="0.35">
      <c r="A11" s="21" t="s">
        <v>8</v>
      </c>
      <c r="B11" s="20" t="s">
        <v>129</v>
      </c>
      <c r="C11" s="20" t="s">
        <v>183</v>
      </c>
      <c r="D11" s="20" t="s">
        <v>181</v>
      </c>
      <c r="E11" s="20" t="s">
        <v>180</v>
      </c>
    </row>
    <row r="12" spans="1:5" ht="14.4" customHeight="1" thickBot="1" x14ac:dyDescent="0.35">
      <c r="A12" s="21" t="s">
        <v>9</v>
      </c>
      <c r="B12" s="20" t="s">
        <v>129</v>
      </c>
      <c r="C12" s="20" t="s">
        <v>182</v>
      </c>
      <c r="D12" s="20" t="s">
        <v>181</v>
      </c>
      <c r="E12" s="20" t="s">
        <v>180</v>
      </c>
    </row>
    <row r="13" spans="1:5" ht="14.4" customHeight="1" thickBot="1" x14ac:dyDescent="0.35">
      <c r="A13" s="21" t="s">
        <v>10</v>
      </c>
      <c r="B13" s="20" t="s">
        <v>129</v>
      </c>
      <c r="C13" s="20" t="s">
        <v>179</v>
      </c>
      <c r="D13" s="20" t="s">
        <v>178</v>
      </c>
      <c r="E13" s="20" t="s">
        <v>177</v>
      </c>
    </row>
    <row r="14" spans="1:5" ht="14.4" customHeight="1" thickBot="1" x14ac:dyDescent="0.35">
      <c r="A14" s="21" t="s">
        <v>11</v>
      </c>
      <c r="B14" s="20" t="s">
        <v>130</v>
      </c>
      <c r="C14" s="20" t="s">
        <v>176</v>
      </c>
      <c r="D14" s="20" t="s">
        <v>175</v>
      </c>
      <c r="E14" s="20" t="s">
        <v>174</v>
      </c>
    </row>
    <row r="15" spans="1:5" ht="14.4" customHeight="1" thickBot="1" x14ac:dyDescent="0.35">
      <c r="A15" s="21" t="s">
        <v>12</v>
      </c>
      <c r="B15" s="20" t="s">
        <v>125</v>
      </c>
      <c r="C15" s="20" t="s">
        <v>173</v>
      </c>
      <c r="D15" s="20" t="s">
        <v>172</v>
      </c>
      <c r="E15" s="20" t="s">
        <v>171</v>
      </c>
    </row>
    <row r="16" spans="1:5" ht="14.4" customHeight="1" thickBot="1" x14ac:dyDescent="0.35">
      <c r="A16" s="21" t="s">
        <v>13</v>
      </c>
      <c r="B16" s="20" t="s">
        <v>125</v>
      </c>
      <c r="C16" s="20" t="s">
        <v>170</v>
      </c>
      <c r="D16" s="20" t="s">
        <v>169</v>
      </c>
      <c r="E16" s="20" t="s">
        <v>168</v>
      </c>
    </row>
    <row r="17" spans="1:5" ht="14.4" customHeight="1" thickBot="1" x14ac:dyDescent="0.35">
      <c r="A17" s="21" t="s">
        <v>14</v>
      </c>
      <c r="B17" s="20" t="s">
        <v>125</v>
      </c>
      <c r="C17" s="20" t="s">
        <v>167</v>
      </c>
      <c r="D17" s="20" t="s">
        <v>166</v>
      </c>
      <c r="E17" s="20" t="s">
        <v>165</v>
      </c>
    </row>
    <row r="18" spans="1:5" ht="14.4" customHeight="1" x14ac:dyDescent="0.3">
      <c r="A18" s="19"/>
    </row>
    <row r="20" spans="1:5" ht="15.6" x14ac:dyDescent="0.3">
      <c r="C2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1D39-9CE7-45AE-80AD-DD6A6796F310}">
  <dimension ref="A3:J41"/>
  <sheetViews>
    <sheetView workbookViewId="0">
      <selection activeCell="I12" sqref="I12"/>
    </sheetView>
  </sheetViews>
  <sheetFormatPr defaultRowHeight="14.4" x14ac:dyDescent="0.3"/>
  <cols>
    <col min="1" max="1" width="19.33203125" bestFit="1" customWidth="1"/>
    <col min="2" max="2" width="17.6640625" bestFit="1" customWidth="1"/>
    <col min="3" max="3" width="18.33203125" bestFit="1" customWidth="1"/>
    <col min="5" max="5" width="17.5546875" bestFit="1" customWidth="1"/>
    <col min="6" max="6" width="21.33203125" bestFit="1" customWidth="1"/>
    <col min="7" max="7" width="22.77734375" bestFit="1" customWidth="1"/>
    <col min="8" max="8" width="17.6640625" bestFit="1" customWidth="1"/>
    <col min="9" max="9" width="18.33203125" bestFit="1" customWidth="1"/>
    <col min="10" max="10" width="12.6640625" bestFit="1" customWidth="1"/>
  </cols>
  <sheetData>
    <row r="3" spans="1:8" x14ac:dyDescent="0.3">
      <c r="A3" s="5" t="s">
        <v>136</v>
      </c>
      <c r="B3" t="s">
        <v>135</v>
      </c>
      <c r="E3" s="5" t="s">
        <v>144</v>
      </c>
      <c r="F3" t="s">
        <v>120</v>
      </c>
      <c r="H3" t="s">
        <v>120</v>
      </c>
    </row>
    <row r="4" spans="1:8" x14ac:dyDescent="0.3">
      <c r="A4" s="6" t="s">
        <v>108</v>
      </c>
      <c r="B4">
        <v>668</v>
      </c>
      <c r="E4" s="6" t="s">
        <v>138</v>
      </c>
      <c r="F4" s="2">
        <v>34440000</v>
      </c>
      <c r="H4" s="2">
        <v>68770000</v>
      </c>
    </row>
    <row r="5" spans="1:8" x14ac:dyDescent="0.3">
      <c r="A5" s="6" t="s">
        <v>107</v>
      </c>
      <c r="B5">
        <v>700</v>
      </c>
      <c r="E5" s="6" t="s">
        <v>137</v>
      </c>
      <c r="F5" s="2">
        <v>18040000</v>
      </c>
    </row>
    <row r="6" spans="1:8" x14ac:dyDescent="0.3">
      <c r="A6" s="6" t="s">
        <v>56</v>
      </c>
      <c r="B6">
        <v>547</v>
      </c>
      <c r="E6" s="6" t="s">
        <v>139</v>
      </c>
      <c r="F6" s="2">
        <v>16290000</v>
      </c>
    </row>
    <row r="7" spans="1:8" x14ac:dyDescent="0.3">
      <c r="A7" s="6" t="s">
        <v>98</v>
      </c>
      <c r="B7">
        <v>3100</v>
      </c>
      <c r="E7" s="6" t="s">
        <v>119</v>
      </c>
      <c r="F7" s="2">
        <v>68770000</v>
      </c>
    </row>
    <row r="8" spans="1:8" x14ac:dyDescent="0.3">
      <c r="A8" s="6" t="s">
        <v>86</v>
      </c>
      <c r="B8">
        <v>805</v>
      </c>
    </row>
    <row r="9" spans="1:8" x14ac:dyDescent="0.3">
      <c r="A9" s="6" t="s">
        <v>119</v>
      </c>
      <c r="B9">
        <v>1164</v>
      </c>
    </row>
    <row r="11" spans="1:8" x14ac:dyDescent="0.3">
      <c r="E11" s="5" t="s">
        <v>2</v>
      </c>
      <c r="F11" t="s">
        <v>120</v>
      </c>
      <c r="G11" t="s">
        <v>140</v>
      </c>
      <c r="H11" t="s">
        <v>142</v>
      </c>
    </row>
    <row r="12" spans="1:8" x14ac:dyDescent="0.3">
      <c r="C12">
        <f>GETPIVOTDATA("[Measures].[Sum of Revenue (NGN)]",$A$14)</f>
        <v>68770000</v>
      </c>
      <c r="E12" s="6" t="s">
        <v>45</v>
      </c>
      <c r="F12" s="2">
        <v>1830000</v>
      </c>
      <c r="G12" s="2">
        <v>380000</v>
      </c>
      <c r="H12" s="2">
        <v>61</v>
      </c>
    </row>
    <row r="13" spans="1:8" x14ac:dyDescent="0.3">
      <c r="E13" s="6" t="s">
        <v>70</v>
      </c>
      <c r="F13" s="2">
        <v>1400000</v>
      </c>
      <c r="G13" s="2">
        <v>680000</v>
      </c>
      <c r="H13" s="2">
        <v>35</v>
      </c>
    </row>
    <row r="14" spans="1:8" x14ac:dyDescent="0.3">
      <c r="A14" t="s">
        <v>120</v>
      </c>
      <c r="E14" s="6" t="s">
        <v>75</v>
      </c>
      <c r="F14" s="2">
        <v>8240000</v>
      </c>
      <c r="G14" s="2">
        <v>1240000</v>
      </c>
      <c r="H14" s="2">
        <v>206</v>
      </c>
    </row>
    <row r="15" spans="1:8" x14ac:dyDescent="0.3">
      <c r="A15" s="2">
        <v>68770000</v>
      </c>
      <c r="C15" s="28">
        <f>GETPIVOTDATA("[Measures].[Sum of Revenue (NGN)]",$A$14)</f>
        <v>68770000</v>
      </c>
      <c r="E15" s="6" t="s">
        <v>17</v>
      </c>
      <c r="F15" s="2">
        <v>8580000</v>
      </c>
      <c r="G15" s="2">
        <v>1345000</v>
      </c>
      <c r="H15" s="2">
        <v>226</v>
      </c>
    </row>
    <row r="16" spans="1:8" x14ac:dyDescent="0.3">
      <c r="C16" s="28">
        <f>GETPIVOTDATA("[Measures].[Sum of Revenue (NGN)]",$A$14)</f>
        <v>68770000</v>
      </c>
      <c r="E16" s="6" t="s">
        <v>57</v>
      </c>
      <c r="F16" s="2">
        <v>3880000</v>
      </c>
      <c r="G16" s="2">
        <v>600000</v>
      </c>
      <c r="H16" s="2">
        <v>97</v>
      </c>
    </row>
    <row r="17" spans="1:8" x14ac:dyDescent="0.3">
      <c r="E17" s="6" t="s">
        <v>78</v>
      </c>
      <c r="F17" s="2">
        <v>720000</v>
      </c>
      <c r="G17" s="2">
        <v>0</v>
      </c>
      <c r="H17" s="2">
        <v>18</v>
      </c>
    </row>
    <row r="18" spans="1:8" x14ac:dyDescent="0.3">
      <c r="A18" t="s">
        <v>140</v>
      </c>
      <c r="E18" s="6" t="s">
        <v>84</v>
      </c>
      <c r="F18" s="2">
        <v>4800000</v>
      </c>
      <c r="G18" s="2">
        <v>0</v>
      </c>
      <c r="H18" s="2">
        <v>120</v>
      </c>
    </row>
    <row r="19" spans="1:8" x14ac:dyDescent="0.3">
      <c r="A19" s="2">
        <v>11495000</v>
      </c>
      <c r="C19" s="28">
        <v>11495000</v>
      </c>
      <c r="E19" s="6" t="s">
        <v>23</v>
      </c>
      <c r="F19" s="2">
        <v>17630000</v>
      </c>
      <c r="G19" s="2">
        <v>4530000</v>
      </c>
      <c r="H19" s="2">
        <v>455</v>
      </c>
    </row>
    <row r="20" spans="1:8" x14ac:dyDescent="0.3">
      <c r="E20" s="6" t="s">
        <v>99</v>
      </c>
      <c r="F20" s="2">
        <v>8000000</v>
      </c>
      <c r="G20" s="2">
        <v>250000</v>
      </c>
      <c r="H20" s="2">
        <v>200</v>
      </c>
    </row>
    <row r="21" spans="1:8" x14ac:dyDescent="0.3">
      <c r="E21" s="6" t="s">
        <v>28</v>
      </c>
      <c r="F21" s="2">
        <v>9100000</v>
      </c>
      <c r="G21" s="2">
        <v>1530000</v>
      </c>
      <c r="H21" s="2">
        <v>264</v>
      </c>
    </row>
    <row r="22" spans="1:8" x14ac:dyDescent="0.3">
      <c r="A22" t="s">
        <v>135</v>
      </c>
      <c r="E22" s="6" t="s">
        <v>41</v>
      </c>
      <c r="F22" s="2">
        <v>4590000</v>
      </c>
      <c r="G22" s="2">
        <v>940000</v>
      </c>
      <c r="H22" s="2">
        <v>153</v>
      </c>
    </row>
    <row r="23" spans="1:8" x14ac:dyDescent="0.3">
      <c r="A23" s="9">
        <v>400.1</v>
      </c>
      <c r="C23" s="9">
        <v>400.1</v>
      </c>
      <c r="E23" s="6" t="s">
        <v>119</v>
      </c>
      <c r="F23" s="2">
        <v>68770000</v>
      </c>
      <c r="G23" s="2">
        <v>11495000</v>
      </c>
      <c r="H23" s="2">
        <v>1835</v>
      </c>
    </row>
    <row r="26" spans="1:8" x14ac:dyDescent="0.3">
      <c r="A26" t="s">
        <v>141</v>
      </c>
      <c r="C26" t="s">
        <v>142</v>
      </c>
    </row>
    <row r="27" spans="1:8" x14ac:dyDescent="0.3">
      <c r="A27" s="4">
        <v>8003</v>
      </c>
      <c r="B27" s="4"/>
      <c r="C27" s="2">
        <v>1835</v>
      </c>
      <c r="F27">
        <f>GETPIVOTDATA("[Measures].[Sum of Revenue (NGN)]",$A$14)</f>
        <v>68770000</v>
      </c>
    </row>
    <row r="29" spans="1:8" x14ac:dyDescent="0.3">
      <c r="A29" s="2">
        <v>8003</v>
      </c>
      <c r="C29" s="2">
        <v>1835</v>
      </c>
    </row>
    <row r="37" spans="5:10" x14ac:dyDescent="0.3">
      <c r="E37" s="5" t="s">
        <v>144</v>
      </c>
      <c r="F37" t="s">
        <v>120</v>
      </c>
      <c r="G37" t="s">
        <v>140</v>
      </c>
      <c r="H37" t="s">
        <v>135</v>
      </c>
      <c r="I37" t="s">
        <v>142</v>
      </c>
      <c r="J37" t="s">
        <v>141</v>
      </c>
    </row>
    <row r="38" spans="5:10" x14ac:dyDescent="0.3">
      <c r="E38" s="6" t="s">
        <v>138</v>
      </c>
      <c r="F38" s="2">
        <v>34440000</v>
      </c>
      <c r="G38" s="2">
        <v>4565000</v>
      </c>
      <c r="H38" s="2">
        <v>513.90909090909088</v>
      </c>
      <c r="I38" s="2">
        <v>915</v>
      </c>
      <c r="J38" s="2">
        <v>3875</v>
      </c>
    </row>
    <row r="39" spans="5:10" x14ac:dyDescent="0.3">
      <c r="E39" s="6" t="s">
        <v>137</v>
      </c>
      <c r="F39" s="2">
        <v>18040000</v>
      </c>
      <c r="G39" s="2">
        <v>3330000</v>
      </c>
      <c r="H39" s="2">
        <v>398.44444444444446</v>
      </c>
      <c r="I39" s="2">
        <v>507</v>
      </c>
      <c r="J39" s="2">
        <v>2400</v>
      </c>
    </row>
    <row r="40" spans="5:10" x14ac:dyDescent="0.3">
      <c r="E40" s="6" t="s">
        <v>139</v>
      </c>
      <c r="F40" s="2">
        <v>16290000</v>
      </c>
      <c r="G40" s="2">
        <v>3600000</v>
      </c>
      <c r="H40" s="2">
        <v>276.39999999999998</v>
      </c>
      <c r="I40" s="2">
        <v>413</v>
      </c>
      <c r="J40" s="2">
        <v>1728</v>
      </c>
    </row>
    <row r="41" spans="5:10" x14ac:dyDescent="0.3">
      <c r="E41" s="6" t="s">
        <v>119</v>
      </c>
      <c r="F41" s="2">
        <v>68770000</v>
      </c>
      <c r="G41" s="2">
        <v>11495000</v>
      </c>
      <c r="H41" s="2">
        <v>400.1</v>
      </c>
      <c r="I41" s="2">
        <v>1835</v>
      </c>
      <c r="J41" s="2">
        <v>8003</v>
      </c>
    </row>
  </sheetData>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BCC1-88B0-4C18-B9BB-10AABE7518EC}">
  <dimension ref="A1"/>
  <sheetViews>
    <sheetView showGridLines="0" tabSelected="1" topLeftCell="A2" zoomScale="85" workbookViewId="0">
      <selection activeCell="Z22" sqref="Z22"/>
    </sheetView>
  </sheetViews>
  <sheetFormatPr defaultRowHeight="14.4" x14ac:dyDescent="0.3"/>
  <cols>
    <col min="1" max="1" width="2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3C45-9AAD-40E7-9FBC-BDFC4C765EC4}">
  <dimension ref="U18"/>
  <sheetViews>
    <sheetView showGridLines="0" zoomScale="93" workbookViewId="0">
      <selection activeCell="W9" sqref="W9"/>
    </sheetView>
  </sheetViews>
  <sheetFormatPr defaultRowHeight="14.4" x14ac:dyDescent="0.3"/>
  <sheetData>
    <row r="18" spans="21:21" x14ac:dyDescent="0.3">
      <c r="U18" t="s">
        <v>164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12B1-0CFB-4045-AAAF-B8F9FFFD3F64}">
  <dimension ref="A1:C8"/>
  <sheetViews>
    <sheetView workbookViewId="0">
      <selection activeCell="C5" sqref="C5"/>
    </sheetView>
  </sheetViews>
  <sheetFormatPr defaultRowHeight="14.4" x14ac:dyDescent="0.3"/>
  <cols>
    <col min="1" max="1" width="26.5546875" customWidth="1"/>
    <col min="2" max="2" width="24.77734375" customWidth="1"/>
    <col min="3" max="3" width="23.33203125" customWidth="1"/>
  </cols>
  <sheetData>
    <row r="1" spans="1:3" x14ac:dyDescent="0.3">
      <c r="A1" s="10" t="s">
        <v>144</v>
      </c>
      <c r="B1" s="10" t="s">
        <v>145</v>
      </c>
      <c r="C1" s="10" t="s">
        <v>146</v>
      </c>
    </row>
    <row r="2" spans="1:3" x14ac:dyDescent="0.3">
      <c r="A2" s="12" t="s">
        <v>138</v>
      </c>
      <c r="B2" s="26">
        <v>34440000</v>
      </c>
      <c r="C2" s="12"/>
    </row>
    <row r="3" spans="1:3" x14ac:dyDescent="0.3">
      <c r="A3" s="12" t="s">
        <v>137</v>
      </c>
      <c r="B3" s="26">
        <v>18040000</v>
      </c>
      <c r="C3" s="25">
        <v>-0.47620000000000001</v>
      </c>
    </row>
    <row r="4" spans="1:3" x14ac:dyDescent="0.3">
      <c r="A4" s="12" t="s">
        <v>139</v>
      </c>
      <c r="B4" s="26">
        <v>16290000</v>
      </c>
      <c r="C4" s="25">
        <v>-9.7000000000000003E-2</v>
      </c>
    </row>
    <row r="5" spans="1:3" x14ac:dyDescent="0.3">
      <c r="A5" s="12" t="s">
        <v>147</v>
      </c>
      <c r="B5" s="26"/>
      <c r="C5" s="25">
        <f>AVERAGE(C3:C4)</f>
        <v>-0.28660000000000002</v>
      </c>
    </row>
    <row r="6" spans="1:3" x14ac:dyDescent="0.3">
      <c r="A6" s="12" t="s">
        <v>148</v>
      </c>
      <c r="B6" s="26">
        <v>11621309.390000001</v>
      </c>
      <c r="C6" s="12"/>
    </row>
    <row r="7" spans="1:3" x14ac:dyDescent="0.3">
      <c r="A7" s="12" t="s">
        <v>149</v>
      </c>
      <c r="B7" s="26">
        <v>8290533.1200000001</v>
      </c>
      <c r="C7" s="12"/>
    </row>
    <row r="8" spans="1:3" x14ac:dyDescent="0.3">
      <c r="A8" s="12" t="s">
        <v>150</v>
      </c>
      <c r="B8" s="26">
        <v>5914690.2999999998</v>
      </c>
      <c r="C8"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268C-E5FD-44C7-A864-E9F558068066}">
  <dimension ref="A1:D6"/>
  <sheetViews>
    <sheetView workbookViewId="0">
      <selection activeCell="D6" sqref="D6"/>
    </sheetView>
  </sheetViews>
  <sheetFormatPr defaultRowHeight="14.4" x14ac:dyDescent="0.3"/>
  <cols>
    <col min="1" max="1" width="23.88671875" customWidth="1"/>
    <col min="2" max="2" width="25.5546875" customWidth="1"/>
    <col min="3" max="3" width="28.88671875" customWidth="1"/>
    <col min="4" max="4" width="21.5546875" customWidth="1"/>
  </cols>
  <sheetData>
    <row r="1" spans="1:4" x14ac:dyDescent="0.3">
      <c r="A1" s="10" t="s">
        <v>151</v>
      </c>
      <c r="B1" s="10" t="s">
        <v>152</v>
      </c>
      <c r="C1" s="10" t="s">
        <v>153</v>
      </c>
      <c r="D1" s="10" t="s">
        <v>154</v>
      </c>
    </row>
    <row r="2" spans="1:4" x14ac:dyDescent="0.3">
      <c r="A2" s="12" t="s">
        <v>155</v>
      </c>
      <c r="B2" s="16">
        <v>4.0010000000000003</v>
      </c>
      <c r="C2" s="15">
        <v>2.2000000000000002</v>
      </c>
      <c r="D2" s="17">
        <v>1.85</v>
      </c>
    </row>
    <row r="3" spans="1:4" x14ac:dyDescent="0.3">
      <c r="A3" s="12" t="s">
        <v>156</v>
      </c>
      <c r="B3" s="26">
        <v>383167</v>
      </c>
      <c r="C3" s="14" t="s">
        <v>160</v>
      </c>
      <c r="D3" s="14" t="s">
        <v>162</v>
      </c>
    </row>
    <row r="4" spans="1:4" x14ac:dyDescent="0.3">
      <c r="A4" s="12" t="s">
        <v>157</v>
      </c>
      <c r="B4" s="14" t="s">
        <v>98</v>
      </c>
      <c r="C4" s="15" t="s">
        <v>23</v>
      </c>
      <c r="D4" s="12" t="s">
        <v>28</v>
      </c>
    </row>
    <row r="5" spans="1:4" x14ac:dyDescent="0.3">
      <c r="A5" s="12" t="s">
        <v>158</v>
      </c>
      <c r="B5" s="12">
        <v>61.17</v>
      </c>
      <c r="C5" s="15">
        <v>0.18</v>
      </c>
      <c r="D5" s="12" t="s">
        <v>163</v>
      </c>
    </row>
    <row r="6" spans="1:4" x14ac:dyDescent="0.3">
      <c r="A6" s="12" t="s">
        <v>159</v>
      </c>
      <c r="B6" s="14">
        <v>68770000</v>
      </c>
      <c r="C6" s="15" t="s">
        <v>161</v>
      </c>
      <c r="D6" s="27"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Campaign_Data_Q3</vt:lpstr>
      <vt:lpstr>Cleaned Data</vt:lpstr>
      <vt:lpstr>Summary Statistics</vt:lpstr>
      <vt:lpstr>Data Dictionary</vt:lpstr>
      <vt:lpstr>Pivot Table</vt:lpstr>
      <vt:lpstr>Dashboard</vt:lpstr>
      <vt:lpstr>Trends and Projections</vt:lpstr>
      <vt:lpstr>Q4 Projections</vt:lpstr>
      <vt:lpstr>Competitor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Yahaya Zango</dc:creator>
  <cp:lastModifiedBy>Glory Ekpenyong</cp:lastModifiedBy>
  <dcterms:created xsi:type="dcterms:W3CDTF">2026-06-15T08:59:49Z</dcterms:created>
  <dcterms:modified xsi:type="dcterms:W3CDTF">2026-07-28T22:09:48Z</dcterms:modified>
</cp:coreProperties>
</file>